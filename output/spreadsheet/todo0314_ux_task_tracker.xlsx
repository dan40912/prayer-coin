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X Task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yyyy-mm-dd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FFFFFF"/>
    </font>
    <font>
      <name val="Calibri"/>
      <color rgb="00008000"/>
    </font>
    <font>
      <name val="Calibri"/>
      <color rgb="00000000"/>
    </font>
    <font>
      <name val="Calibri"/>
      <color rgb="000563C1"/>
    </font>
    <font>
      <name val="Calibri"/>
      <i val="1"/>
      <color rgb="00666666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2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0" pivotButton="0" quotePrefix="0" xfId="0"/>
    <xf numFmtId="164" fontId="3" fillId="3" borderId="0" pivotButton="0" quotePrefix="0" xfId="0"/>
    <xf numFmtId="0" fontId="8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164" fontId="5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164" fontId="6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165" fontId="7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2F0D9"/>
        </patternFill>
      </fill>
    </dxf>
    <dxf>
      <fill>
        <patternFill patternType="solid">
          <fgColor rgb="00D9E1F2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24" customWidth="1" min="3" max="3"/>
    <col width="10" customWidth="1" min="4" max="4"/>
    <col width="15" customWidth="1" min="5" max="5"/>
    <col width="14" customWidth="1" min="6" max="6"/>
    <col width="15" customWidth="1" min="7" max="7"/>
    <col width="20" customWidth="1" min="8" max="8"/>
    <col width="15" customWidth="1" min="9" max="9"/>
    <col width="18" customWidth="1" min="10" max="10"/>
    <col width="14" customWidth="1" min="11" max="11"/>
    <col width="13" customWidth="1" min="12" max="12"/>
    <col width="36" customWidth="1" min="13" max="13"/>
    <col width="42" customWidth="1" min="14" max="14"/>
  </cols>
  <sheetData>
    <row r="1" ht="24" customHeight="1">
      <c r="A1" s="1" t="inlineStr">
        <is>
          <t>StartPray UX Task Tracker (from TODO0314.MD)</t>
        </is>
      </c>
    </row>
    <row r="2" ht="21" customHeight="1">
      <c r="B2" s="2" t="inlineStr">
        <is>
          <t>Total Tasks</t>
        </is>
      </c>
      <c r="C2" s="3">
        <f>COUNTA(A9:A200)</f>
        <v/>
      </c>
    </row>
    <row r="3" ht="21" customHeight="1">
      <c r="B3" s="2" t="inlineStr">
        <is>
          <t>Completed Tasks</t>
        </is>
      </c>
      <c r="C3" s="3">
        <f>COUNTIF(F9:F200,"Done")</f>
        <v/>
      </c>
    </row>
    <row r="4" ht="21" customHeight="1">
      <c r="B4" s="2" t="inlineStr">
        <is>
          <t>Overall Completion</t>
        </is>
      </c>
      <c r="C4" s="4">
        <f>IF(C2=0,0,C3/C2)</f>
        <v/>
      </c>
    </row>
    <row r="5" ht="21" customHeight="1">
      <c r="B5" s="2" t="inlineStr">
        <is>
          <t>Weighted Remaining Effort</t>
        </is>
      </c>
      <c r="C5" s="4">
        <f>SUM(J9:J200)</f>
        <v/>
      </c>
    </row>
    <row r="7">
      <c r="A7" s="5" t="inlineStr">
        <is>
          <t>Source document: TODO0314.MD (repository root)</t>
        </is>
      </c>
    </row>
    <row r="8" ht="24" customHeight="1">
      <c r="A8" s="6" t="inlineStr">
        <is>
          <t>ID</t>
        </is>
      </c>
      <c r="B8" s="6" t="inlineStr">
        <is>
          <t>Task Description</t>
        </is>
      </c>
      <c r="C8" s="6" t="inlineStr">
        <is>
          <t>Route</t>
        </is>
      </c>
      <c r="D8" s="6" t="inlineStr">
        <is>
          <t>Priority</t>
        </is>
      </c>
      <c r="E8" s="6" t="inlineStr">
        <is>
          <t>Est. Effort (%)</t>
        </is>
      </c>
      <c r="F8" s="6" t="inlineStr">
        <is>
          <t>Status</t>
        </is>
      </c>
      <c r="G8" s="6" t="inlineStr">
        <is>
          <t>Completion (%)</t>
        </is>
      </c>
      <c r="H8" s="6" t="inlineStr">
        <is>
          <t>Remaining Effort (%)</t>
        </is>
      </c>
      <c r="I8" s="6" t="inlineStr">
        <is>
          <t>Priority Weight</t>
        </is>
      </c>
      <c r="J8" s="6" t="inlineStr">
        <is>
          <t>Weighted Remaining</t>
        </is>
      </c>
      <c r="K8" s="6" t="inlineStr">
        <is>
          <t>Owner</t>
        </is>
      </c>
      <c r="L8" s="6" t="inlineStr">
        <is>
          <t>Due Date</t>
        </is>
      </c>
      <c r="M8" s="6" t="inlineStr">
        <is>
          <t>Source URL</t>
        </is>
      </c>
      <c r="N8" s="6" t="inlineStr">
        <is>
          <t>Notes</t>
        </is>
      </c>
    </row>
    <row r="9" ht="44" customHeight="1">
      <c r="A9" s="7" t="inlineStr">
        <is>
          <t>UX-01</t>
        </is>
      </c>
      <c r="B9" s="7" t="inlineStr">
        <is>
          <t>首屏主流程不清楚，使用者不知道第一步該做什麼</t>
        </is>
      </c>
      <c r="C9" s="7" t="inlineStr">
        <is>
          <t>`/prayfor`</t>
        </is>
      </c>
      <c r="D9" s="7" t="inlineStr">
        <is>
          <t>P0</t>
        </is>
      </c>
      <c r="E9" s="8" t="n">
        <v>0.1</v>
      </c>
      <c r="F9" s="9" t="inlineStr">
        <is>
          <t>Not Started</t>
        </is>
      </c>
      <c r="G9" s="10">
        <f>IF(F9="Done",1,IF(F9="In Progress",0.5,0))</f>
        <v/>
      </c>
      <c r="H9" s="10">
        <f>E9*(1-G9)</f>
        <v/>
      </c>
      <c r="I9" s="11">
        <f>IF(D9="P0",2,1)</f>
        <v/>
      </c>
      <c r="J9" s="10">
        <f>H9*I9</f>
        <v/>
      </c>
      <c r="K9" s="9" t="inlineStr"/>
      <c r="L9" s="12" t="inlineStr"/>
      <c r="M9" s="7" t="inlineStr">
        <is>
          <t>https://startpray.online/prayfor</t>
        </is>
      </c>
      <c r="N9" s="9" t="inlineStr">
        <is>
          <t>問題已確認，待版型重排 | 確定首屏只留 1 主 CTA + 1 次 CTA</t>
        </is>
      </c>
    </row>
    <row r="10" ht="44" customHeight="1">
      <c r="A10" s="7" t="inlineStr">
        <is>
          <t>UX-02</t>
        </is>
      </c>
      <c r="B10" s="7" t="inlineStr">
        <is>
          <t>搜尋與卡片牆出現太晚，使用者要滑很久才進入主任務</t>
        </is>
      </c>
      <c r="C10" s="7" t="inlineStr">
        <is>
          <t>`/prayfor`</t>
        </is>
      </c>
      <c r="D10" s="7" t="inlineStr">
        <is>
          <t>P0</t>
        </is>
      </c>
      <c r="E10" s="8" t="n">
        <v>0.1</v>
      </c>
      <c r="F10" s="9" t="inlineStr">
        <is>
          <t>Not Started</t>
        </is>
      </c>
      <c r="G10" s="10">
        <f>IF(F10="Done",1,IF(F10="In Progress",0.5,0))</f>
        <v/>
      </c>
      <c r="H10" s="10">
        <f>E10*(1-G10)</f>
        <v/>
      </c>
      <c r="I10" s="11">
        <f>IF(D10="P0",2,1)</f>
        <v/>
      </c>
      <c r="J10" s="10">
        <f>H10*I10</f>
        <v/>
      </c>
      <c r="K10" s="9" t="inlineStr"/>
      <c r="L10" s="12" t="inlineStr"/>
      <c r="M10" s="7" t="inlineStr">
        <is>
          <t>https://startpray.online/prayfor</t>
        </is>
      </c>
      <c r="N10" s="9" t="inlineStr">
        <is>
          <t>問題已確認，尚未改版 | 將搜尋/熱門牆前移到 hero 後第一區塊</t>
        </is>
      </c>
    </row>
    <row r="11" ht="44" customHeight="1">
      <c r="A11" s="7" t="inlineStr">
        <is>
          <t>UX-03</t>
        </is>
      </c>
      <c r="B11" s="7" t="inlineStr">
        <is>
          <t>登入/忘記密碼流程訊息矛盾，造成中斷感</t>
        </is>
      </c>
      <c r="C11" s="7" t="inlineStr">
        <is>
          <t>`/login` `/forgot-password`</t>
        </is>
      </c>
      <c r="D11" s="7" t="inlineStr">
        <is>
          <t>P0</t>
        </is>
      </c>
      <c r="E11" s="8" t="n">
        <v>0.15</v>
      </c>
      <c r="F11" s="9" t="inlineStr">
        <is>
          <t>Not Started</t>
        </is>
      </c>
      <c r="G11" s="10">
        <f>IF(F11="Done",1,IF(F11="In Progress",0.5,0))</f>
        <v/>
      </c>
      <c r="H11" s="10">
        <f>E11*(1-G11)</f>
        <v/>
      </c>
      <c r="I11" s="11">
        <f>IF(D11="P0",2,1)</f>
        <v/>
      </c>
      <c r="J11" s="10">
        <f>H11*I11</f>
        <v/>
      </c>
      <c r="K11" s="9" t="inlineStr"/>
      <c r="L11" s="12" t="inlineStr"/>
      <c r="M11" s="7" t="inlineStr">
        <is>
          <t>https://startpray.online/prayfor</t>
        </is>
      </c>
      <c r="N11" s="9" t="inlineStr">
        <is>
          <t>問題已確認，流程未修正 | 恢復 forgot-password 頁並更新登入頁文案</t>
        </is>
      </c>
    </row>
    <row r="12" ht="44" customHeight="1">
      <c r="A12" s="7" t="inlineStr">
        <is>
          <t>UX-04</t>
        </is>
      </c>
      <c r="B12" s="7" t="inlineStr">
        <is>
          <t>詳情頁操作元素過多，主任務優先順序不清楚</t>
        </is>
      </c>
      <c r="C12" s="7" t="inlineStr">
        <is>
          <t>`/prayfor/[id]`</t>
        </is>
      </c>
      <c r="D12" s="7" t="inlineStr">
        <is>
          <t>P0</t>
        </is>
      </c>
      <c r="E12" s="8" t="n">
        <v>0.1</v>
      </c>
      <c r="F12" s="9" t="inlineStr">
        <is>
          <t>Not Started</t>
        </is>
      </c>
      <c r="G12" s="10">
        <f>IF(F12="Done",1,IF(F12="In Progress",0.5,0))</f>
        <v/>
      </c>
      <c r="H12" s="10">
        <f>E12*(1-G12)</f>
        <v/>
      </c>
      <c r="I12" s="11">
        <f>IF(D12="P0",2,1)</f>
        <v/>
      </c>
      <c r="J12" s="10">
        <f>H12*I12</f>
        <v/>
      </c>
      <c r="K12" s="9" t="inlineStr"/>
      <c r="L12" s="12" t="inlineStr"/>
      <c r="M12" s="7" t="inlineStr">
        <is>
          <t>https://startpray.online/prayfor</t>
        </is>
      </c>
      <c r="N12" s="9" t="inlineStr">
        <is>
          <t>問題已確認，互動未收斂 | 調整為「播放/回應/延伸瀏覽」三層 CTA</t>
        </is>
      </c>
    </row>
    <row r="13" ht="44" customHeight="1">
      <c r="A13" s="7" t="inlineStr">
        <is>
          <t>UX-05</t>
        </is>
      </c>
      <c r="B13" s="7" t="inlineStr">
        <is>
          <t>手機版固定元件（header/播放器/浮動切換）互相搶空間</t>
        </is>
      </c>
      <c r="C13" s="7" t="inlineStr">
        <is>
          <t>`/prayfor` `/prayfor/[id]`</t>
        </is>
      </c>
      <c r="D13" s="7" t="inlineStr">
        <is>
          <t>P1</t>
        </is>
      </c>
      <c r="E13" s="8" t="n">
        <v>0.1</v>
      </c>
      <c r="F13" s="9" t="inlineStr">
        <is>
          <t>Not Started</t>
        </is>
      </c>
      <c r="G13" s="10">
        <f>IF(F13="Done",1,IF(F13="In Progress",0.5,0))</f>
        <v/>
      </c>
      <c r="H13" s="10">
        <f>E13*(1-G13)</f>
        <v/>
      </c>
      <c r="I13" s="11">
        <f>IF(D13="P0",2,1)</f>
        <v/>
      </c>
      <c r="J13" s="10">
        <f>H13*I13</f>
        <v/>
      </c>
      <c r="K13" s="9" t="inlineStr"/>
      <c r="L13" s="12" t="inlineStr"/>
      <c r="M13" s="7" t="inlineStr">
        <is>
          <t>https://startpray.online/prayfor</t>
        </is>
      </c>
      <c r="N13" s="9" t="inlineStr">
        <is>
          <t>問題已確認，待行動版重排 | 移除詳情頁浮動切換，播放器改 mini 模式</t>
        </is>
      </c>
    </row>
    <row r="14" ht="44" customHeight="1">
      <c r="A14" s="7" t="inlineStr">
        <is>
          <t>UX-06</t>
        </is>
      </c>
      <c r="B14" s="7" t="inlineStr">
        <is>
          <t>後台手機版側欄與大表格可用性不足</t>
        </is>
      </c>
      <c r="C14" s="7" t="inlineStr">
        <is>
          <t>`/admin/*`</t>
        </is>
      </c>
      <c r="D14" s="7" t="inlineStr">
        <is>
          <t>P1</t>
        </is>
      </c>
      <c r="E14" s="8" t="n">
        <v>0.1</v>
      </c>
      <c r="F14" s="9" t="inlineStr">
        <is>
          <t>Not Started</t>
        </is>
      </c>
      <c r="G14" s="10">
        <f>IF(F14="Done",1,IF(F14="In Progress",0.5,0))</f>
        <v/>
      </c>
      <c r="H14" s="10">
        <f>E14*(1-G14)</f>
        <v/>
      </c>
      <c r="I14" s="11">
        <f>IF(D14="P0",2,1)</f>
        <v/>
      </c>
      <c r="J14" s="10">
        <f>H14*I14</f>
        <v/>
      </c>
      <c r="K14" s="9" t="inlineStr"/>
      <c r="L14" s="12" t="inlineStr"/>
      <c r="M14" s="7" t="inlineStr">
        <is>
          <t>https://startpray.online/prayfor</t>
        </is>
      </c>
      <c r="N14" s="9" t="inlineStr">
        <is>
          <t>問題已確認，尚未實作 | 補 mobile sidebar toggle 與表格行動版策略</t>
        </is>
      </c>
    </row>
    <row r="15" ht="44" customHeight="1">
      <c r="A15" s="7" t="inlineStr">
        <is>
          <t>UX-07</t>
        </is>
      </c>
      <c r="B15" s="7" t="inlineStr">
        <is>
          <t>後台導覽與頁面真實性不一致（示意頁混在正式流程）</t>
        </is>
      </c>
      <c r="C15" s="7" t="inlineStr">
        <is>
          <t>`/admin/*`</t>
        </is>
      </c>
      <c r="D15" s="7" t="inlineStr">
        <is>
          <t>P0</t>
        </is>
      </c>
      <c r="E15" s="8" t="n">
        <v>0.2</v>
      </c>
      <c r="F15" s="9" t="inlineStr">
        <is>
          <t>Not Started</t>
        </is>
      </c>
      <c r="G15" s="10">
        <f>IF(F15="Done",1,IF(F15="In Progress",0.5,0))</f>
        <v/>
      </c>
      <c r="H15" s="10">
        <f>E15*(1-G15)</f>
        <v/>
      </c>
      <c r="I15" s="11">
        <f>IF(D15="P0",2,1)</f>
        <v/>
      </c>
      <c r="J15" s="10">
        <f>H15*I15</f>
        <v/>
      </c>
      <c r="K15" s="9" t="inlineStr"/>
      <c r="L15" s="12" t="inlineStr"/>
      <c r="M15" s="7" t="inlineStr">
        <is>
          <t>https://startpray.online/prayfor</t>
        </is>
      </c>
      <c r="N15" s="9" t="inlineStr">
        <is>
          <t>已盤點哪些頁為示意資料 | 導覽拆分「正式可用 / 規劃中」</t>
        </is>
      </c>
    </row>
    <row r="16" ht="44" customHeight="1">
      <c r="A16" s="7" t="inlineStr">
        <is>
          <t>UX-08</t>
        </is>
      </c>
      <c r="B16" s="7" t="inlineStr">
        <is>
          <t>後台操作回饋風格不一致（alert/confirm/inline 混用）</t>
        </is>
      </c>
      <c r="C16" s="7" t="inlineStr">
        <is>
          <t>`/admin/*`</t>
        </is>
      </c>
      <c r="D16" s="7" t="inlineStr">
        <is>
          <t>P1</t>
        </is>
      </c>
      <c r="E16" s="8" t="n">
        <v>0.1</v>
      </c>
      <c r="F16" s="9" t="inlineStr">
        <is>
          <t>Not Started</t>
        </is>
      </c>
      <c r="G16" s="10">
        <f>IF(F16="Done",1,IF(F16="In Progress",0.5,0))</f>
        <v/>
      </c>
      <c r="H16" s="10">
        <f>E16*(1-G16)</f>
        <v/>
      </c>
      <c r="I16" s="11">
        <f>IF(D16="P0",2,1)</f>
        <v/>
      </c>
      <c r="J16" s="10">
        <f>H16*I16</f>
        <v/>
      </c>
      <c r="K16" s="9" t="inlineStr"/>
      <c r="L16" s="12" t="inlineStr"/>
      <c r="M16" s="7" t="inlineStr">
        <is>
          <t>https://startpray.online/prayfor</t>
        </is>
      </c>
      <c r="N16" s="9" t="inlineStr">
        <is>
          <t>問題已確認 | 定義統一 toast + confirm dialog 規範</t>
        </is>
      </c>
    </row>
  </sheetData>
  <mergeCells count="2">
    <mergeCell ref="A7:F7"/>
    <mergeCell ref="A1:N1"/>
  </mergeCells>
  <conditionalFormatting sqref="F9:F200">
    <cfRule type="expression" priority="1" dxfId="0" stopIfTrue="0">
      <formula>$F9="Done"</formula>
    </cfRule>
    <cfRule type="expression" priority="2" dxfId="1" stopIfTrue="0">
      <formula>$F9="In Progress"</formula>
    </cfRule>
    <cfRule type="expression" priority="3" dxfId="2" stopIfTrue="0">
      <formula>$F9="Blocked"</formula>
    </cfRule>
  </conditionalFormatting>
  <dataValidations count="1">
    <dataValidation sqref="F9:F200" showDropDown="0" showInputMessage="0" showErrorMessage="0" allowBlank="0" type="list">
      <formula1>"Not Started,In Progress,Blocked,Done"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2026-03-14T00:18:18Z</dcterms:created>
  <dcterms:modified xsi:type="dcterms:W3CDTF">2026-03-14T00:18:18Z</dcterms:modified>
</cp:coreProperties>
</file>
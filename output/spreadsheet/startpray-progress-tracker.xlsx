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2616" windowWidth="23256" windowHeight="12456" tabRatio="600" firstSheet="0" activeTab="0" autoFilterDateGrouping="1"/>
  </bookViews>
  <sheets>
    <sheet name="Dashboard" sheetId="1" state="visible" r:id="rId1"/>
    <sheet name="Top_UX" sheetId="2" state="visible" r:id="rId2"/>
    <sheet name="Tasks" sheetId="3" state="visible" r:id="rId3"/>
    <sheet name="Weekly_Log" sheetId="4" state="visible" r:id="rId4"/>
    <sheet name="Release_Tracker" sheetId="5" state="visible" r:id="rId5"/>
    <sheet name="Push_Log" sheetId="6" state="visible" r:id="rId6"/>
  </sheets>
  <definedNames>
    <definedName name="_xlnm._FilterDatabase" localSheetId="1" hidden="1">'Top_UX'!$A$1:$G$9</definedName>
    <definedName name="_xlnm._FilterDatabase" localSheetId="2" hidden="1">'Tasks'!$A$1:$M$40</definedName>
    <definedName name="_xlnm._FilterDatabase" localSheetId="4" hidden="1">'Release_Tracker'!$A$1:$J$2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6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1"/>
      <b val="1"/>
      <sz val="13"/>
    </font>
    <font>
      <name val="Segoe UI"/>
      <family val="2"/>
      <color rgb="FF0D0D0D"/>
      <sz val="10"/>
    </font>
    <font>
      <name val="Segoe UI"/>
      <family val="2"/>
      <b val="1"/>
      <color rgb="FF0D0D0D"/>
      <sz val="10"/>
    </font>
    <font>
      <name val="Segoe UI"/>
      <family val="2"/>
      <color rgb="FF0D0D0D"/>
      <sz val="10"/>
    </font>
    <font>
      <name val="Consolas"/>
      <family val="3"/>
      <color rgb="FF0D0D0D"/>
      <sz val="9"/>
    </font>
    <font>
      <name val="Consolas"/>
      <family val="3"/>
      <color rgb="FF0285FF"/>
      <sz val="9"/>
    </font>
    <font>
      <name val="新細明體"/>
      <charset val="136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2" fillId="3" borderId="0" pivotButton="0" quotePrefix="0" xfId="0"/>
    <xf numFmtId="0" fontId="2" fillId="3" borderId="1" pivotButton="0" quotePrefix="0" xfId="0"/>
    <xf numFmtId="9" fontId="0" fillId="0" borderId="0" pivotButton="0" quotePrefix="0" xfId="0"/>
    <xf numFmtId="0" fontId="3" fillId="2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2"/>
    </xf>
    <xf numFmtId="0" fontId="8" fillId="0" borderId="0" applyAlignment="1" pivotButton="0" quotePrefix="0" xfId="0">
      <alignment horizontal="left" vertical="center" wrapText="1" inden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topLeftCell="A12" workbookViewId="0">
      <selection activeCell="C28" sqref="C28"/>
    </sheetView>
  </sheetViews>
  <sheetFormatPr baseColWidth="8" defaultRowHeight="15.75"/>
  <cols>
    <col width="24" customWidth="1" min="1" max="1"/>
    <col width="18" customWidth="1" min="2" max="2"/>
    <col width="12" customWidth="1" min="3" max="3"/>
    <col width="14" customWidth="1" min="4" max="4"/>
    <col width="18" customWidth="1" min="6" max="6"/>
    <col width="24" customWidth="1" min="7" max="7"/>
  </cols>
  <sheetData>
    <row r="1" ht="21" customHeight="1">
      <c r="A1" s="1" t="inlineStr">
        <is>
          <t>Start Pray ??????</t>
        </is>
      </c>
      <c r="F1" s="2" t="inlineStr">
        <is>
          <t>Release / Git</t>
        </is>
      </c>
    </row>
    <row r="2">
      <c r="A2" t="inlineStr">
        <is>
          <t>????</t>
        </is>
      </c>
      <c r="B2" t="inlineStr">
        <is>
          <t>2026-03-14</t>
        </is>
      </c>
    </row>
    <row r="3">
      <c r="F3" s="3" t="inlineStr">
        <is>
          <t>Current Branch</t>
        </is>
      </c>
      <c r="G3" s="3" t="inlineStr">
        <is>
          <t>main</t>
        </is>
      </c>
    </row>
    <row r="4">
      <c r="A4" s="4" t="inlineStr">
        <is>
          <t>?? KPI</t>
        </is>
      </c>
      <c r="F4" s="3" t="inlineStr">
        <is>
          <t>Current Commit</t>
        </is>
      </c>
      <c r="G4" s="3" t="inlineStr">
        <is>
          <t>dee4b64</t>
        </is>
      </c>
    </row>
    <row r="5">
      <c r="A5" t="inlineStr">
        <is>
          <t>????</t>
        </is>
      </c>
      <c r="B5">
        <f>COUNTA(Tasks!A:A)-1</f>
        <v/>
      </c>
      <c r="F5" s="3" t="inlineStr">
        <is>
          <t>Latest Tag</t>
        </is>
      </c>
      <c r="G5" s="3" t="inlineStr">
        <is>
          <t>v2</t>
        </is>
      </c>
    </row>
    <row r="6">
      <c r="A6" t="inlineStr">
        <is>
          <t>???</t>
        </is>
      </c>
      <c r="B6">
        <f>COUNTIF(Tasks!E:E,"Done")</f>
        <v/>
      </c>
      <c r="F6" s="3" t="inlineStr">
        <is>
          <t>Snapshot Date</t>
        </is>
      </c>
      <c r="G6" s="3" t="inlineStr">
        <is>
          <t>2026-05-10 19:36:25</t>
        </is>
      </c>
    </row>
    <row r="7">
      <c r="A7" t="inlineStr">
        <is>
          <t>???</t>
        </is>
      </c>
      <c r="B7">
        <f>COUNTIF(Tasks!E:E,"In Progress")</f>
        <v/>
      </c>
      <c r="F7" s="3" t="n"/>
      <c r="G7" s="3" t="n"/>
    </row>
    <row r="8">
      <c r="A8" t="inlineStr">
        <is>
          <t>??</t>
        </is>
      </c>
      <c r="B8">
        <f>COUNTIF(Tasks!E:E,"Blocked")</f>
        <v/>
      </c>
      <c r="F8" s="5" t="inlineStr">
        <is>
          <t>Release KPI</t>
        </is>
      </c>
      <c r="G8" s="3" t="n"/>
    </row>
    <row r="9">
      <c r="A9" t="inlineStr">
        <is>
          <t>?????</t>
        </is>
      </c>
      <c r="B9" s="6">
        <f>IFERROR(B5/B3,0)</f>
        <v/>
      </c>
      <c r="F9" s="3" t="inlineStr">
        <is>
          <t>Total Releases</t>
        </is>
      </c>
      <c r="G9" s="3">
        <f>COUNTA(Release_Tracker!A:A)-1</f>
        <v/>
      </c>
    </row>
    <row r="10">
      <c r="F10" s="3" t="inlineStr">
        <is>
          <t>Active Releases</t>
        </is>
      </c>
      <c r="G10" s="3">
        <f>COUNTIF(Release_Tracker!D:D,"In Progress")</f>
        <v/>
      </c>
    </row>
    <row r="11">
      <c r="A11" s="4" t="inlineStr">
        <is>
          <t>?????</t>
        </is>
      </c>
      <c r="F11" s="3" t="inlineStr">
        <is>
          <t>Done Releases</t>
        </is>
      </c>
      <c r="G11" s="3">
        <f>COUNTIF(Release_Tracker!D:D,"Done")</f>
        <v/>
      </c>
    </row>
    <row r="12">
      <c r="A12" s="7" t="inlineStr">
        <is>
          <t>Priority</t>
        </is>
      </c>
      <c r="B12" s="7" t="inlineStr">
        <is>
          <t>Total</t>
        </is>
      </c>
      <c r="C12" s="7" t="inlineStr">
        <is>
          <t>Done</t>
        </is>
      </c>
      <c r="D12" s="7" t="inlineStr">
        <is>
          <t>Completion</t>
        </is>
      </c>
      <c r="F12" s="3" t="inlineStr">
        <is>
          <t>Release Completion</t>
        </is>
      </c>
      <c r="G12" s="8">
        <f>IFERROR(G11/G9,0)</f>
        <v/>
      </c>
    </row>
    <row r="13">
      <c r="A13" s="3" t="inlineStr">
        <is>
          <t>P0</t>
        </is>
      </c>
      <c r="B13" s="3">
        <f>COUNTIF(Tasks!D:D,"P0")</f>
        <v/>
      </c>
      <c r="C13" s="3">
        <f>COUNTIFS(Tasks!D:D,"P0",Tasks!E:E,"Done")</f>
        <v/>
      </c>
      <c r="D13" s="8">
        <f>IFERROR(C13/B13,0)</f>
        <v/>
      </c>
    </row>
    <row r="14">
      <c r="A14" s="3" t="inlineStr">
        <is>
          <t>P1</t>
        </is>
      </c>
      <c r="B14" s="3">
        <f>COUNTIF(Tasks!D:D,"P1")</f>
        <v/>
      </c>
      <c r="C14" s="3">
        <f>COUNTIFS(Tasks!D:D,"P1",Tasks!E:E,"Done")</f>
        <v/>
      </c>
      <c r="D14" s="8">
        <f>IFERROR(C14/B14,0)</f>
        <v/>
      </c>
    </row>
    <row r="15">
      <c r="A15" s="3" t="inlineStr">
        <is>
          <t>P2</t>
        </is>
      </c>
      <c r="B15" s="3">
        <f>COUNTIF(Tasks!D:D,"P2")</f>
        <v/>
      </c>
      <c r="C15" s="3">
        <f>COUNTIFS(Tasks!D:D,"P2",Tasks!E:E,"Done")</f>
        <v/>
      </c>
      <c r="D15" s="8">
        <f>IFERROR(C15/B15,0)</f>
        <v/>
      </c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5" t="inlineStr">
        <is>
          <t>????</t>
        </is>
      </c>
      <c r="B18" s="3" t="n"/>
      <c r="C18" s="3" t="n"/>
      <c r="D18" s="3" t="n"/>
    </row>
    <row r="19">
      <c r="A19" s="7" t="inlineStr">
        <is>
          <t>Domain</t>
        </is>
      </c>
      <c r="B19" s="7" t="inlineStr">
        <is>
          <t>Total</t>
        </is>
      </c>
      <c r="C19" s="7" t="inlineStr">
        <is>
          <t>Done</t>
        </is>
      </c>
      <c r="D19" s="7" t="inlineStr">
        <is>
          <t>Completion</t>
        </is>
      </c>
    </row>
    <row r="20">
      <c r="A20" s="3" t="inlineStr">
        <is>
          <t>Frontend</t>
        </is>
      </c>
      <c r="B20" s="3">
        <f>COUNTIF(Tasks!B:B,"Frontend")</f>
        <v/>
      </c>
      <c r="C20" s="3">
        <f>COUNTIFS(Tasks!B:B,"Frontend",Tasks!E:E,"Done")</f>
        <v/>
      </c>
      <c r="D20" s="8">
        <f>IFERROR(C20/B20,0)</f>
        <v/>
      </c>
    </row>
    <row r="21">
      <c r="A21" s="3" t="inlineStr">
        <is>
          <t>Admin</t>
        </is>
      </c>
      <c r="B21" s="3">
        <f>COUNTIF(Tasks!B:B,"Admin")</f>
        <v/>
      </c>
      <c r="C21" s="3">
        <f>COUNTIFS(Tasks!B:B,"Admin",Tasks!E:E,"Done")</f>
        <v/>
      </c>
      <c r="D21" s="8">
        <f>IFERROR(C21/B21,0)</f>
        <v/>
      </c>
    </row>
    <row r="26" ht="28.5" customHeight="1">
      <c r="A26" s="10" t="inlineStr">
        <is>
          <t>前台優先小修版改造 + 安全/架構優化路線圖</t>
        </is>
      </c>
    </row>
    <row r="27">
      <c r="A27" s="11" t="inlineStr">
        <is>
          <t>Summary</t>
        </is>
      </c>
    </row>
    <row r="28" ht="71.25" customHeight="1">
      <c r="A28" s="12" t="inlineStr">
        <is>
          <t>你選擇的策略：先做前台體驗、第一階段只做小修補、後台先下架未完成頁，同時要清楚列出安全與架構優化路線。</t>
        </is>
      </c>
    </row>
    <row r="29" ht="28.5" customHeight="1">
      <c r="A29" s="12" t="inlineStr">
        <is>
          <t>盤點後的高風險不合理點（需納入路線）：</t>
        </is>
      </c>
    </row>
    <row r="30" ht="42.75" customHeight="1">
      <c r="A30" s="12" t="inlineStr">
        <is>
          <t>1. 客戶端可偽造登入身分（auth-storage.js、server-session.js）。</t>
        </is>
      </c>
    </row>
    <row r="31" ht="95.25" customHeight="1">
      <c r="A31" s="12" t="inlineStr">
        <is>
          <t>2. 公開 API 存在敏感資料外洩/越權風險（api/users/route.js、api/responses/[homeCardId]/route.js、api/home-cards/route.js）。</t>
        </is>
      </c>
    </row>
    <row r="32" ht="71.25" customHeight="1">
      <c r="A32" s="12" t="inlineStr">
        <is>
          <t>3. 前台樣式層過度膨脹與重疊（globals.css 約 7.6k 行，主題檔重複定義），影響美觀一致性與維護。</t>
        </is>
      </c>
    </row>
    <row r="33" ht="71.25" customHeight="1">
      <c r="A33" s="12" t="inlineStr">
        <is>
          <t>4. 後台資訊架構混雜真/假頁面（analytics/finance/moderation/support 為 mock），降低管理可信度。</t>
        </is>
      </c>
    </row>
    <row r="34" ht="69" customHeight="1">
      <c r="A34" s="12" t="inlineStr">
        <is>
          <t>5. API 存在舊版殘留與失配（/api/prayers*、/api/PrayerResponse、/api/home-cards/[id]）。</t>
        </is>
      </c>
    </row>
    <row r="35">
      <c r="A35" s="11" t="inlineStr">
        <is>
          <t>Implementation Changes</t>
        </is>
      </c>
    </row>
    <row r="36" ht="28.5" customHeight="1">
      <c r="A36" s="12" t="inlineStr">
        <is>
          <t>第一階段（前台小修補，2-3 週，先做）</t>
        </is>
      </c>
    </row>
    <row r="37" ht="57" customHeight="1">
      <c r="A37" s="12" t="inlineStr">
        <is>
          <t>1. 視覺一致性小修：統一首頁、祈禱牆、詳情頁的字級、留白、按鈕層級與卡片密度，不重做版型。</t>
        </is>
      </c>
    </row>
    <row r="38" ht="57" customHeight="1">
      <c r="A38" s="12" t="inlineStr">
        <is>
          <t>2. 內容豐富化小修：補強首頁「信任感區塊」與「引導區塊」文案層次，優化空狀態與錯誤提示。</t>
        </is>
      </c>
    </row>
    <row r="39" ht="57" customHeight="1">
      <c r="A39" s="12" t="inlineStr">
        <is>
          <t>3. 互動精修：減少首頁探索區過重的即時請求（保留功能但降載），優化載入中/無結果體驗。</t>
        </is>
      </c>
    </row>
    <row r="40" ht="42.75" customHeight="1">
      <c r="A40" s="12" t="inlineStr">
        <is>
          <t>4. 後台導航清理：先隱藏未完成 mock 模組，只保留已串接可運作頁面。</t>
        </is>
      </c>
    </row>
    <row r="41" ht="42.75" customHeight="1">
      <c r="A41" s="13" t="inlineStr">
        <is>
          <t>第二階段（安全與架構優化路線，並行設計、下階段落地）</t>
        </is>
      </c>
    </row>
    <row r="42" ht="85.5" customHeight="1">
      <c r="A42" s="12" t="inlineStr">
        <is>
          <t>5. Session 重構：改為 server 簽章/驗證 session（httpOnly），移除對可竄改 client cookie/localStorage 的信任。</t>
        </is>
      </c>
    </row>
    <row r="43" ht="99.75" customHeight="1">
      <c r="A43" s="12" t="inlineStr">
        <is>
          <t>6. Public API 收斂：下架或封鎖高風險舊 API（/api/users、/api/prayers*、/api/PrayerResponse），補上最小必要欄位 select。</t>
        </is>
      </c>
    </row>
    <row r="44" ht="85.5" customHeight="1">
      <c r="A44" s="12" t="inlineStr">
        <is>
          <t>7. 權限與資料流一致化：home-cards/responses 建立與修改改為 server 端用 session 決定 ownerId/responderId，不再吃前端傳入 ID。</t>
        </is>
      </c>
    </row>
    <row r="45" ht="85.5" customHeight="1">
      <c r="A45" s="12" t="inlineStr">
        <is>
          <t>8. Admin 邏輯一致化：每支 admin route 補顯式權限檢查（非僅依賴 middleware header），整理 banner 為單一資料來源。</t>
        </is>
      </c>
    </row>
    <row r="46" ht="28.5" customHeight="1">
      <c r="A46" s="13" t="inlineStr">
        <is>
          <t>介面/API 變更（先規劃）</t>
        </is>
      </c>
    </row>
    <row r="47" ht="40.5" customHeight="1">
      <c r="A47" s="14" t="inlineStr">
        <is>
          <t>9. POST /api/home-cards：移除 ownerId 請求欄位，由 server 注入。</t>
        </is>
      </c>
    </row>
    <row r="48" ht="54.75" customHeight="1">
      <c r="A48" s="14" t="inlineStr">
        <is>
          <t>10. POST /api/responses：移除 responderId 請求欄位，由 server 注入。</t>
        </is>
      </c>
    </row>
    <row r="49" ht="81" customHeight="1">
      <c r="A49" s="14" t="inlineStr">
        <is>
          <t>11. /api/responses/[homeCardId]：回傳 responder 白名單欄位（name/avatar），不回傳完整 user model。</t>
        </is>
      </c>
    </row>
    <row r="50" ht="71.25" customHeight="1">
      <c r="A50" s="14" t="inlineStr">
        <is>
          <t>12. /api/users、/api/prayers*、/api/PrayerResponse：標記淘汰並移除外部可用性。</t>
        </is>
      </c>
    </row>
    <row r="51">
      <c r="A51" s="11" t="inlineStr">
        <is>
          <t>Test Plan</t>
        </is>
      </c>
    </row>
    <row r="52" ht="57" customHeight="1">
      <c r="A52" s="12" t="inlineStr">
        <is>
          <t>1. 前台回歸：首頁、祈禱牆、詳情、登入/註冊、會員中心在 desktop/mobile 版面與互動檢查。</t>
        </is>
      </c>
    </row>
    <row r="53" ht="71.25" customHeight="1">
      <c r="A53" s="12" t="inlineStr">
        <is>
          <t>2. 安全驗證：手動竄改 pc-auth cookie/localStorage 後，不可讀寫他人資料；未登入不可建立卡片/回應。</t>
        </is>
      </c>
    </row>
    <row r="54" ht="57" customHeight="1">
      <c r="A54" s="12" t="inlineStr">
        <is>
          <t>3. API 合約：建立/查詢/檢舉/後台封鎖流程的成功與拒絕案例（401/403/422）要明確。</t>
        </is>
      </c>
    </row>
    <row r="55" ht="57" customHeight="1">
      <c r="A55" s="12" t="inlineStr">
        <is>
          <t>4. 建置品質：npm run lint、npm run build 必須無新增警告與無路由失配。</t>
        </is>
      </c>
    </row>
    <row r="56">
      <c r="A56" s="11" t="inlineStr">
        <is>
          <t>Assumptions</t>
        </is>
      </c>
    </row>
    <row r="57" ht="42.75" customHeight="1">
      <c r="A57" s="12" t="inlineStr">
        <is>
          <t>1. 第一階段不做全面重設計，只做「高感知小修補」。</t>
        </is>
      </c>
    </row>
    <row r="58" ht="42.75" customHeight="1">
      <c r="A58" s="12" t="inlineStr">
        <is>
          <t>2. 後台未完成頁面先隱藏，不在第一階段補齊全部功能。</t>
        </is>
      </c>
    </row>
    <row r="59" ht="42.75" customHeight="1">
      <c r="A59" s="12" t="inlineStr">
        <is>
          <t>3. 安全與架構路線本輪先定規格與優先級，實作安排在下一階段。</t>
        </is>
      </c>
    </row>
    <row r="60" ht="42.75" customHeight="1">
      <c r="A60" s="12" t="inlineStr">
        <is>
          <t>4. 不變更品牌核心定位與主要內容語言（維持現有中文主體）。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2" customWidth="1" min="1" max="1"/>
    <col width="48" customWidth="1" min="2" max="2"/>
    <col width="24" customWidth="1" min="3" max="3"/>
    <col width="10" customWidth="1" min="4" max="5"/>
    <col width="28" customWidth="1" min="6" max="6"/>
    <col width="40" customWidth="1" min="7" max="7"/>
  </cols>
  <sheetData>
    <row r="1">
      <c r="A1" s="7" t="inlineStr">
        <is>
          <t>ID</t>
        </is>
      </c>
      <c r="B1" s="7" t="inlineStr">
        <is>
          <t>??</t>
        </is>
      </c>
      <c r="C1" s="7" t="inlineStr">
        <is>
          <t>????</t>
        </is>
      </c>
      <c r="D1" s="7" t="inlineStr">
        <is>
          <t>???</t>
        </is>
      </c>
      <c r="E1" s="7" t="inlineStr">
        <is>
          <t>??%</t>
        </is>
      </c>
      <c r="F1" s="7" t="inlineStr">
        <is>
          <t>????</t>
        </is>
      </c>
      <c r="G1" s="7" t="inlineStr">
        <is>
          <t>???</t>
        </is>
      </c>
    </row>
    <row r="2">
      <c r="A2" s="9" t="inlineStr">
        <is>
          <t>UX-01</t>
        </is>
      </c>
      <c r="B2" s="9" t="inlineStr">
        <is>
          <t>首屏主流程不清楚，使用者不知道第一步該做什麼</t>
        </is>
      </c>
      <c r="C2" s="9" t="inlineStr">
        <is>
          <t>`/prayfor`</t>
        </is>
      </c>
      <c r="D2" s="9" t="inlineStr">
        <is>
          <t>P0</t>
        </is>
      </c>
      <c r="E2" s="9" t="n">
        <v>10</v>
      </c>
      <c r="F2" s="9" t="inlineStr">
        <is>
          <t>問題已確認，待版型重排</t>
        </is>
      </c>
      <c r="G2" s="9" t="inlineStr">
        <is>
          <t>確定首屏只留 1 主 CTA + 1 次 CTA</t>
        </is>
      </c>
    </row>
    <row r="3" ht="31.5" customHeight="1">
      <c r="A3" s="9" t="inlineStr">
        <is>
          <t>UX-02</t>
        </is>
      </c>
      <c r="B3" s="9" t="inlineStr">
        <is>
          <t>搜尋與卡片牆出現太晚，使用者要滑很久才進入主任務</t>
        </is>
      </c>
      <c r="C3" s="9" t="inlineStr">
        <is>
          <t>`/prayfor`</t>
        </is>
      </c>
      <c r="D3" s="9" t="inlineStr">
        <is>
          <t>P0</t>
        </is>
      </c>
      <c r="E3" s="9" t="n">
        <v>10</v>
      </c>
      <c r="F3" s="9" t="inlineStr">
        <is>
          <t>問題已確認，尚未改版</t>
        </is>
      </c>
      <c r="G3" s="9" t="inlineStr">
        <is>
          <t>將搜尋/熱門牆前移到 hero 後第一區塊</t>
        </is>
      </c>
    </row>
    <row r="4">
      <c r="A4" s="9" t="inlineStr">
        <is>
          <t>UX-03</t>
        </is>
      </c>
      <c r="B4" s="9" t="inlineStr">
        <is>
          <t>登入/忘記密碼流程訊息矛盾，造成中斷感</t>
        </is>
      </c>
      <c r="C4" s="9" t="inlineStr">
        <is>
          <t>`/login` `/forgot-password`</t>
        </is>
      </c>
      <c r="D4" s="9" t="inlineStr">
        <is>
          <t>P0</t>
        </is>
      </c>
      <c r="E4" s="9" t="n">
        <v>15</v>
      </c>
      <c r="F4" s="9" t="inlineStr">
        <is>
          <t>問題已確認，流程未修正</t>
        </is>
      </c>
      <c r="G4" s="9" t="inlineStr">
        <is>
          <t>恢復 forgot-password 頁並更新登入頁文案</t>
        </is>
      </c>
    </row>
    <row r="5">
      <c r="A5" s="9" t="inlineStr">
        <is>
          <t>UX-04</t>
        </is>
      </c>
      <c r="B5" s="9" t="inlineStr">
        <is>
          <t>詳情頁操作元素過多，主任務優先順序不清楚</t>
        </is>
      </c>
      <c r="C5" s="9" t="inlineStr">
        <is>
          <t>`/prayfor/[id]`</t>
        </is>
      </c>
      <c r="D5" s="9" t="inlineStr">
        <is>
          <t>P0</t>
        </is>
      </c>
      <c r="E5" s="9" t="n">
        <v>10</v>
      </c>
      <c r="F5" s="9" t="inlineStr">
        <is>
          <t>問題已確認，互動未收斂</t>
        </is>
      </c>
      <c r="G5" s="9" t="inlineStr">
        <is>
          <t>調整為「播放/回應/延伸瀏覽」三層 CTA</t>
        </is>
      </c>
    </row>
    <row r="6" ht="31.5" customHeight="1">
      <c r="A6" s="9" t="inlineStr">
        <is>
          <t>UX-05</t>
        </is>
      </c>
      <c r="B6" s="9" t="inlineStr">
        <is>
          <t>手機版固定元件（header/播放器/浮動切換）互相搶空間</t>
        </is>
      </c>
      <c r="C6" s="9" t="inlineStr">
        <is>
          <t>`/prayfor` `/prayfor/[id]`</t>
        </is>
      </c>
      <c r="D6" s="9" t="inlineStr">
        <is>
          <t>P1</t>
        </is>
      </c>
      <c r="E6" s="9" t="n">
        <v>10</v>
      </c>
      <c r="F6" s="9" t="inlineStr">
        <is>
          <t>問題已確認，待行動版重排</t>
        </is>
      </c>
      <c r="G6" s="9" t="inlineStr">
        <is>
          <t>移除詳情頁浮動切換，播放器改 mini 模式</t>
        </is>
      </c>
    </row>
    <row r="7">
      <c r="A7" s="9" t="inlineStr">
        <is>
          <t>UX-06</t>
        </is>
      </c>
      <c r="B7" s="9" t="inlineStr">
        <is>
          <t>後台手機版側欄與大表格可用性不足</t>
        </is>
      </c>
      <c r="C7" s="9" t="inlineStr">
        <is>
          <t>`/admin/*`</t>
        </is>
      </c>
      <c r="D7" s="9" t="inlineStr">
        <is>
          <t>P1</t>
        </is>
      </c>
      <c r="E7" s="9" t="n">
        <v>10</v>
      </c>
      <c r="F7" s="9" t="inlineStr">
        <is>
          <t>問題已確認，尚未實作</t>
        </is>
      </c>
      <c r="G7" s="9" t="inlineStr">
        <is>
          <t>補 mobile sidebar toggle 與表格行動版策略</t>
        </is>
      </c>
    </row>
    <row r="8" ht="31.5" customHeight="1">
      <c r="A8" s="9" t="inlineStr">
        <is>
          <t>UX-07</t>
        </is>
      </c>
      <c r="B8" s="9" t="inlineStr">
        <is>
          <t>後台導覽與頁面真實性不一致（示意頁混在正式流程）</t>
        </is>
      </c>
      <c r="C8" s="9" t="inlineStr">
        <is>
          <t>`/admin/*`</t>
        </is>
      </c>
      <c r="D8" s="9" t="inlineStr">
        <is>
          <t>P0</t>
        </is>
      </c>
      <c r="E8" s="9" t="n">
        <v>20</v>
      </c>
      <c r="F8" s="9" t="inlineStr">
        <is>
          <t>已盤點哪些頁為示意資料</t>
        </is>
      </c>
      <c r="G8" s="9" t="inlineStr">
        <is>
          <t>導覽拆分「正式可用 / 規劃中」</t>
        </is>
      </c>
    </row>
    <row r="9" ht="31.5" customHeight="1">
      <c r="A9" s="9" t="inlineStr">
        <is>
          <t>UX-08</t>
        </is>
      </c>
      <c r="B9" s="9" t="inlineStr">
        <is>
          <t>後台操作回饋風格不一致（alert/confirm/inline 混用）</t>
        </is>
      </c>
      <c r="C9" s="9" t="inlineStr">
        <is>
          <t>`/admin/*`</t>
        </is>
      </c>
      <c r="D9" s="9" t="inlineStr">
        <is>
          <t>P1</t>
        </is>
      </c>
      <c r="E9" s="9" t="n">
        <v>10</v>
      </c>
      <c r="F9" s="9" t="inlineStr">
        <is>
          <t>問題已確認</t>
        </is>
      </c>
      <c r="G9" s="9" t="inlineStr">
        <is>
          <t>定義統一 toast + confirm dialog 規範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2" customWidth="1" min="1" max="2"/>
    <col width="48" customWidth="1" min="3" max="3"/>
    <col width="10" customWidth="1" min="4" max="4"/>
    <col width="14" customWidth="1" min="5" max="5"/>
    <col width="10" customWidth="1" min="6" max="6"/>
    <col width="14" customWidth="1" min="7" max="7"/>
    <col width="30" customWidth="1" min="8" max="8"/>
    <col width="18" customWidth="1" min="9" max="9"/>
    <col width="14" customWidth="1" min="10" max="10"/>
    <col width="26" customWidth="1" min="11" max="11"/>
    <col width="16" customWidth="1" min="12" max="13"/>
  </cols>
  <sheetData>
    <row r="1">
      <c r="A1" s="7" t="inlineStr">
        <is>
          <t>Task ID</t>
        </is>
      </c>
      <c r="B1" s="7" t="inlineStr">
        <is>
          <t>Domain</t>
        </is>
      </c>
      <c r="C1" s="7" t="inlineStr">
        <is>
          <t>Task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Progress%</t>
        </is>
      </c>
      <c r="G1" s="7" t="inlineStr">
        <is>
          <t>Owner</t>
        </is>
      </c>
      <c r="H1" s="7" t="inlineStr">
        <is>
          <t>Next Action</t>
        </is>
      </c>
      <c r="I1" s="7" t="inlineStr">
        <is>
          <t>Source</t>
        </is>
      </c>
      <c r="J1" s="7" t="inlineStr">
        <is>
          <t>Last Updated</t>
        </is>
      </c>
      <c r="K1" s="7" t="inlineStr">
        <is>
          <t>Notes</t>
        </is>
      </c>
      <c r="L1" s="7" t="inlineStr">
        <is>
          <t>Release</t>
        </is>
      </c>
      <c r="M1" s="7" t="inlineStr">
        <is>
          <t>Git Version</t>
        </is>
      </c>
    </row>
    <row r="2" ht="31.5" customHeight="1">
      <c r="A2" s="3" t="inlineStr">
        <is>
          <t>TASK-001</t>
        </is>
      </c>
      <c r="B2" s="3" t="inlineStr">
        <is>
          <t>Frontend</t>
        </is>
      </c>
      <c r="C2" s="9" t="inlineStr">
        <is>
          <t>恢復 `/forgot-password` 實際頁面，不再 redirect 到 `/login`</t>
        </is>
      </c>
      <c r="D2" s="3" t="inlineStr">
        <is>
          <t>P0</t>
        </is>
      </c>
      <c r="E2" s="3" t="inlineStr">
        <is>
          <t>Not Started</t>
        </is>
      </c>
      <c r="F2" s="3" t="n">
        <v>0</v>
      </c>
      <c r="G2" s="3" t="n"/>
      <c r="H2" s="9" t="n"/>
      <c r="I2" s="3" t="inlineStr">
        <is>
          <t>TODO0314 section 5</t>
        </is>
      </c>
      <c r="J2" s="3" t="inlineStr">
        <is>
          <t>2026-03-14</t>
        </is>
      </c>
      <c r="K2" s="9" t="n"/>
      <c r="L2" s="3" t="n"/>
      <c r="M2" s="3" t="n"/>
    </row>
    <row r="3">
      <c r="A3" s="3" t="inlineStr">
        <is>
          <t>TASK-002</t>
        </is>
      </c>
      <c r="B3" s="3" t="inlineStr">
        <is>
          <t>Frontend</t>
        </is>
      </c>
      <c r="C3" s="9" t="inlineStr">
        <is>
          <t>在登入頁加入明確的「忘記密碼？」入口</t>
        </is>
      </c>
      <c r="D3" s="3" t="inlineStr">
        <is>
          <t>P0</t>
        </is>
      </c>
      <c r="E3" s="3" t="inlineStr">
        <is>
          <t>Not Started</t>
        </is>
      </c>
      <c r="F3" s="3" t="n">
        <v>0</v>
      </c>
      <c r="G3" s="3" t="n"/>
      <c r="H3" s="9" t="n"/>
      <c r="I3" s="3" t="inlineStr">
        <is>
          <t>TODO0314 section 5</t>
        </is>
      </c>
      <c r="J3" s="3" t="inlineStr">
        <is>
          <t>2026-03-14</t>
        </is>
      </c>
      <c r="K3" s="9" t="n"/>
      <c r="L3" s="3" t="n"/>
      <c r="M3" s="3" t="n"/>
    </row>
    <row r="4">
      <c r="A4" s="3" t="inlineStr">
        <is>
          <t>TASK-003</t>
        </is>
      </c>
      <c r="B4" s="3" t="inlineStr">
        <is>
          <t>Frontend</t>
        </is>
      </c>
      <c r="C4" s="9" t="inlineStr">
        <is>
          <t>移除登入頁錯誤文案「忘記密碼功能暫停中」</t>
        </is>
      </c>
      <c r="D4" s="3" t="inlineStr">
        <is>
          <t>P0</t>
        </is>
      </c>
      <c r="E4" s="3" t="inlineStr">
        <is>
          <t>Not Started</t>
        </is>
      </c>
      <c r="F4" s="3" t="n">
        <v>0</v>
      </c>
      <c r="G4" s="3" t="n"/>
      <c r="H4" s="9" t="n"/>
      <c r="I4" s="3" t="inlineStr">
        <is>
          <t>TODO0314 section 5</t>
        </is>
      </c>
      <c r="J4" s="3" t="inlineStr">
        <is>
          <t>2026-03-14</t>
        </is>
      </c>
      <c r="K4" s="9" t="n"/>
      <c r="L4" s="3" t="n"/>
      <c r="M4" s="3" t="n"/>
    </row>
    <row r="5" ht="31.5" customHeight="1">
      <c r="A5" s="3" t="inlineStr">
        <is>
          <t>TASK-004</t>
        </is>
      </c>
      <c r="B5" s="3" t="inlineStr">
        <is>
          <t>Frontend</t>
        </is>
      </c>
      <c r="C5" s="9" t="inlineStr">
        <is>
          <t>統一網站品牌命名 `Start Pray / Prayer Coin / Let's Pray`</t>
        </is>
      </c>
      <c r="D5" s="3" t="inlineStr">
        <is>
          <t>P0</t>
        </is>
      </c>
      <c r="E5" s="3" t="inlineStr">
        <is>
          <t>Not Started</t>
        </is>
      </c>
      <c r="F5" s="3" t="n">
        <v>0</v>
      </c>
      <c r="G5" s="3" t="n"/>
      <c r="H5" s="9" t="n"/>
      <c r="I5" s="3" t="inlineStr">
        <is>
          <t>TODO0314 section 5</t>
        </is>
      </c>
      <c r="J5" s="3" t="inlineStr">
        <is>
          <t>2026-03-14</t>
        </is>
      </c>
      <c r="K5" s="9" t="n"/>
      <c r="L5" s="3" t="n"/>
      <c r="M5" s="3" t="n"/>
    </row>
    <row r="6">
      <c r="A6" s="3" t="inlineStr">
        <is>
          <t>TASK-005</t>
        </is>
      </c>
      <c r="B6" s="3" t="inlineStr">
        <is>
          <t>Frontend</t>
        </is>
      </c>
      <c r="C6" s="9" t="inlineStr">
        <is>
          <t>修正首頁與導覽資訊架構，確認 `/` 的角色</t>
        </is>
      </c>
      <c r="D6" s="3" t="inlineStr">
        <is>
          <t>P0</t>
        </is>
      </c>
      <c r="E6" s="3" t="inlineStr">
        <is>
          <t>Not Started</t>
        </is>
      </c>
      <c r="F6" s="3" t="n">
        <v>0</v>
      </c>
      <c r="G6" s="3" t="n"/>
      <c r="H6" s="9" t="n"/>
      <c r="I6" s="3" t="inlineStr">
        <is>
          <t>TODO0314 section 5</t>
        </is>
      </c>
      <c r="J6" s="3" t="inlineStr">
        <is>
          <t>2026-03-14</t>
        </is>
      </c>
      <c r="K6" s="9" t="n"/>
      <c r="L6" s="3" t="n"/>
      <c r="M6" s="3" t="n"/>
    </row>
    <row r="7">
      <c r="A7" s="3" t="inlineStr">
        <is>
          <t>TASK-006</t>
        </is>
      </c>
      <c r="B7" s="3" t="inlineStr">
        <is>
          <t>Frontend</t>
        </is>
      </c>
      <c r="C7" s="9" t="inlineStr">
        <is>
          <t>將首頁 CTA 全數導向有效且一致的產品流程</t>
        </is>
      </c>
      <c r="D7" s="3" t="inlineStr">
        <is>
          <t>P0</t>
        </is>
      </c>
      <c r="E7" s="3" t="inlineStr">
        <is>
          <t>Not Started</t>
        </is>
      </c>
      <c r="F7" s="3" t="n">
        <v>0</v>
      </c>
      <c r="G7" s="3" t="n"/>
      <c r="H7" s="9" t="n"/>
      <c r="I7" s="3" t="inlineStr">
        <is>
          <t>TODO0314 section 5</t>
        </is>
      </c>
      <c r="J7" s="3" t="inlineStr">
        <is>
          <t>2026-03-14</t>
        </is>
      </c>
      <c r="K7" s="9" t="n"/>
      <c r="L7" s="3" t="n"/>
      <c r="M7" s="3" t="n"/>
    </row>
    <row r="8">
      <c r="A8" s="3" t="inlineStr">
        <is>
          <t>TASK-007</t>
        </is>
      </c>
      <c r="B8" s="3" t="inlineStr">
        <is>
          <t>Frontend</t>
        </is>
      </c>
      <c r="C8" s="9" t="inlineStr">
        <is>
          <t>將搜尋與熱門牆前移到首頁更前段的位置</t>
        </is>
      </c>
      <c r="D8" s="3" t="inlineStr">
        <is>
          <t>P0</t>
        </is>
      </c>
      <c r="E8" s="3" t="inlineStr">
        <is>
          <t>Not Started</t>
        </is>
      </c>
      <c r="F8" s="3" t="n">
        <v>0</v>
      </c>
      <c r="G8" s="3" t="n"/>
      <c r="H8" s="9" t="n"/>
      <c r="I8" s="3" t="inlineStr">
        <is>
          <t>TODO0314 section 5</t>
        </is>
      </c>
      <c r="J8" s="3" t="inlineStr">
        <is>
          <t>2026-03-14</t>
        </is>
      </c>
      <c r="K8" s="9" t="n"/>
      <c r="L8" s="3" t="n"/>
      <c r="M8" s="3" t="n"/>
    </row>
    <row r="9">
      <c r="A9" s="3" t="inlineStr">
        <is>
          <t>TASK-008</t>
        </is>
      </c>
      <c r="B9" s="3" t="inlineStr">
        <is>
          <t>Frontend</t>
        </is>
      </c>
      <c r="C9" s="9" t="inlineStr">
        <is>
          <t>移除或補齊詳情頁 `關注` 按鈕功能</t>
        </is>
      </c>
      <c r="D9" s="3" t="inlineStr">
        <is>
          <t>P0</t>
        </is>
      </c>
      <c r="E9" s="3" t="inlineStr">
        <is>
          <t>Not Started</t>
        </is>
      </c>
      <c r="F9" s="3" t="n">
        <v>0</v>
      </c>
      <c r="G9" s="3" t="n"/>
      <c r="H9" s="9" t="n"/>
      <c r="I9" s="3" t="inlineStr">
        <is>
          <t>TODO0314 section 5</t>
        </is>
      </c>
      <c r="J9" s="3" t="inlineStr">
        <is>
          <t>2026-03-14</t>
        </is>
      </c>
      <c r="K9" s="9" t="n"/>
      <c r="L9" s="3" t="n"/>
      <c r="M9" s="3" t="n"/>
    </row>
    <row r="10">
      <c r="A10" s="3" t="inlineStr">
        <is>
          <t>TASK-009</t>
        </is>
      </c>
      <c r="B10" s="3" t="inlineStr">
        <is>
          <t>Frontend</t>
        </is>
      </c>
      <c r="C10" s="9" t="inlineStr">
        <is>
          <t>下架未上線的安全承諾與功能描述</t>
        </is>
      </c>
      <c r="D10" s="3" t="inlineStr">
        <is>
          <t>P0</t>
        </is>
      </c>
      <c r="E10" s="3" t="inlineStr">
        <is>
          <t>Not Started</t>
        </is>
      </c>
      <c r="F10" s="3" t="n">
        <v>0</v>
      </c>
      <c r="G10" s="3" t="n"/>
      <c r="H10" s="9" t="n"/>
      <c r="I10" s="3" t="inlineStr">
        <is>
          <t>TODO0314 section 5</t>
        </is>
      </c>
      <c r="J10" s="3" t="inlineStr">
        <is>
          <t>2026-03-14</t>
        </is>
      </c>
      <c r="K10" s="9" t="n"/>
      <c r="L10" s="3" t="n"/>
      <c r="M10" s="3" t="n"/>
    </row>
    <row r="11">
      <c r="A11" s="3" t="inlineStr">
        <is>
          <t>TASK-010</t>
        </is>
      </c>
      <c r="B11" s="3" t="inlineStr">
        <is>
          <t>Frontend</t>
        </is>
      </c>
      <c r="C11" s="9" t="inlineStr">
        <is>
          <t>重新定義詳情頁主 CTA 優先順序</t>
        </is>
      </c>
      <c r="D11" s="3" t="inlineStr">
        <is>
          <t>P0</t>
        </is>
      </c>
      <c r="E11" s="3" t="inlineStr">
        <is>
          <t>Not Started</t>
        </is>
      </c>
      <c r="F11" s="3" t="n">
        <v>0</v>
      </c>
      <c r="G11" s="3" t="n"/>
      <c r="H11" s="9" t="n"/>
      <c r="I11" s="3" t="inlineStr">
        <is>
          <t>TODO0314 section 5</t>
        </is>
      </c>
      <c r="J11" s="3" t="inlineStr">
        <is>
          <t>2026-03-14</t>
        </is>
      </c>
      <c r="K11" s="9" t="n"/>
      <c r="L11" s="3" t="n"/>
      <c r="M11" s="3" t="n"/>
    </row>
    <row r="12" ht="31.5" customHeight="1">
      <c r="A12" s="3" t="inlineStr">
        <is>
          <t>TASK-011</t>
        </is>
      </c>
      <c r="B12" s="3" t="inlineStr">
        <is>
          <t>Admin</t>
        </is>
      </c>
      <c r="C12" s="9" t="inlineStr">
        <is>
          <t>後台登入改為伺服器端 session 驗證，不再只靠 `sessionStorage`</t>
        </is>
      </c>
      <c r="D12" s="3" t="inlineStr">
        <is>
          <t>P0</t>
        </is>
      </c>
      <c r="E12" s="3" t="inlineStr">
        <is>
          <t>Not Started</t>
        </is>
      </c>
      <c r="F12" s="3" t="n">
        <v>0</v>
      </c>
      <c r="G12" s="3" t="n"/>
      <c r="H12" s="9" t="n"/>
      <c r="I12" s="3" t="inlineStr">
        <is>
          <t>TODO0314 section 5</t>
        </is>
      </c>
      <c r="J12" s="3" t="inlineStr">
        <is>
          <t>2026-03-14</t>
        </is>
      </c>
      <c r="K12" s="9" t="n"/>
      <c r="L12" s="3" t="n"/>
      <c r="M12" s="3" t="n"/>
    </row>
    <row r="13" ht="31.5" customHeight="1">
      <c r="A13" s="3" t="inlineStr">
        <is>
          <t>TASK-012</t>
        </is>
      </c>
      <c r="B13" s="3" t="inlineStr">
        <is>
          <t>Admin</t>
        </is>
      </c>
      <c r="C13" s="9" t="inlineStr">
        <is>
          <t>移除登入頁硬編碼 2FA 驗證碼（目前為固定值），改為真實 OTP 流程</t>
        </is>
      </c>
      <c r="D13" s="3" t="inlineStr">
        <is>
          <t>P0</t>
        </is>
      </c>
      <c r="E13" s="3" t="inlineStr">
        <is>
          <t>Not Started</t>
        </is>
      </c>
      <c r="F13" s="3" t="n">
        <v>0</v>
      </c>
      <c r="G13" s="3" t="n"/>
      <c r="H13" s="9" t="n"/>
      <c r="I13" s="3" t="inlineStr">
        <is>
          <t>TODO0314 section 5</t>
        </is>
      </c>
      <c r="J13" s="3" t="inlineStr">
        <is>
          <t>2026-03-14</t>
        </is>
      </c>
      <c r="K13" s="9" t="n"/>
      <c r="L13" s="3" t="n"/>
      <c r="M13" s="3" t="n"/>
    </row>
    <row r="14">
      <c r="A14" s="3" t="inlineStr">
        <is>
          <t>TASK-013</t>
        </is>
      </c>
      <c r="B14" s="3" t="inlineStr">
        <is>
          <t>Admin</t>
        </is>
      </c>
      <c r="C14" s="9" t="inlineStr">
        <is>
          <t>所有 `/api/admin/*` 路由統一加上伺服器端權限檢查</t>
        </is>
      </c>
      <c r="D14" s="3" t="inlineStr">
        <is>
          <t>P0</t>
        </is>
      </c>
      <c r="E14" s="3" t="inlineStr">
        <is>
          <t>Not Started</t>
        </is>
      </c>
      <c r="F14" s="3" t="n">
        <v>0</v>
      </c>
      <c r="G14" s="3" t="n"/>
      <c r="H14" s="9" t="n"/>
      <c r="I14" s="3" t="inlineStr">
        <is>
          <t>TODO0314 section 5</t>
        </is>
      </c>
      <c r="J14" s="3" t="inlineStr">
        <is>
          <t>2026-03-14</t>
        </is>
      </c>
      <c r="K14" s="9" t="n"/>
      <c r="L14" s="3" t="n"/>
      <c r="M14" s="3" t="n"/>
    </row>
    <row r="15" ht="31.5" customHeight="1">
      <c r="A15" s="3" t="inlineStr">
        <is>
          <t>TASK-014</t>
        </is>
      </c>
      <c r="B15" s="3" t="inlineStr">
        <is>
          <t>Admin</t>
        </is>
      </c>
      <c r="C15" s="9" t="inlineStr">
        <is>
          <t>禁止僅用 `x-admin-role` header 判斷權限（可被任意偽造）</t>
        </is>
      </c>
      <c r="D15" s="3" t="inlineStr">
        <is>
          <t>P0</t>
        </is>
      </c>
      <c r="E15" s="3" t="inlineStr">
        <is>
          <t>Not Started</t>
        </is>
      </c>
      <c r="F15" s="3" t="n">
        <v>0</v>
      </c>
      <c r="G15" s="3" t="n"/>
      <c r="H15" s="9" t="n"/>
      <c r="I15" s="3" t="inlineStr">
        <is>
          <t>TODO0314 section 5</t>
        </is>
      </c>
      <c r="J15" s="3" t="inlineStr">
        <is>
          <t>2026-03-14</t>
        </is>
      </c>
      <c r="K15" s="9" t="n"/>
      <c r="L15" s="3" t="n"/>
      <c r="M15" s="3" t="n"/>
    </row>
    <row r="16" ht="31.5" customHeight="1">
      <c r="A16" s="3" t="inlineStr">
        <is>
          <t>TASK-015</t>
        </is>
      </c>
      <c r="B16" s="3" t="inlineStr">
        <is>
          <t>Admin</t>
        </is>
      </c>
      <c r="C16" s="9" t="inlineStr">
        <is>
          <t>修正高風險操作（封鎖/解封、交易狀態變更）的二次確認與操作回饋</t>
        </is>
      </c>
      <c r="D16" s="3" t="inlineStr">
        <is>
          <t>P0</t>
        </is>
      </c>
      <c r="E16" s="3" t="inlineStr">
        <is>
          <t>Not Started</t>
        </is>
      </c>
      <c r="F16" s="3" t="n">
        <v>0</v>
      </c>
      <c r="G16" s="3" t="n"/>
      <c r="H16" s="9" t="n"/>
      <c r="I16" s="3" t="inlineStr">
        <is>
          <t>TODO0314 section 5</t>
        </is>
      </c>
      <c r="J16" s="3" t="inlineStr">
        <is>
          <t>2026-03-14</t>
        </is>
      </c>
      <c r="K16" s="9" t="n"/>
      <c r="L16" s="3" t="n"/>
      <c r="M16" s="3" t="n"/>
    </row>
    <row r="17" ht="31.5" customHeight="1">
      <c r="A17" s="3" t="inlineStr">
        <is>
          <t>TASK-016</t>
        </is>
      </c>
      <c r="B17" s="3" t="inlineStr">
        <is>
          <t>Admin</t>
        </is>
      </c>
      <c r="C17" s="9" t="inlineStr">
        <is>
          <t>移除或明確標示尚未上線的示意頁（analytics / finance / moderation / support）</t>
        </is>
      </c>
      <c r="D17" s="3" t="inlineStr">
        <is>
          <t>P0</t>
        </is>
      </c>
      <c r="E17" s="3" t="inlineStr">
        <is>
          <t>Not Started</t>
        </is>
      </c>
      <c r="F17" s="3" t="n">
        <v>0</v>
      </c>
      <c r="G17" s="3" t="n"/>
      <c r="H17" s="9" t="n"/>
      <c r="I17" s="3" t="inlineStr">
        <is>
          <t>TODO0314 section 5</t>
        </is>
      </c>
      <c r="J17" s="3" t="inlineStr">
        <is>
          <t>2026-03-14</t>
        </is>
      </c>
      <c r="K17" s="9" t="n"/>
      <c r="L17" s="3" t="n"/>
      <c r="M17" s="3" t="n"/>
    </row>
    <row r="18" ht="47.25" customHeight="1">
      <c r="A18" s="3" t="inlineStr">
        <is>
          <t>TASK-017</t>
        </is>
      </c>
      <c r="B18" s="3" t="inlineStr">
        <is>
          <t>Frontend</t>
        </is>
      </c>
      <c r="C18" s="9" t="inlineStr">
        <is>
          <t>將首頁重新整理為 2 個主要 CTA + 3 條清楚主流程</t>
        </is>
      </c>
      <c r="D18" s="3" t="inlineStr">
        <is>
          <t>P1</t>
        </is>
      </c>
      <c r="E18" s="3" t="inlineStr">
        <is>
          <t>Done</t>
        </is>
      </c>
      <c r="F18" s="3" t="n">
        <v>100</v>
      </c>
      <c r="G18" s="3" t="inlineStr">
        <is>
          <t>Codex</t>
        </is>
      </c>
      <c r="H18" s="9" t="inlineStr">
        <is>
          <t>Validate CTA conversion and scroll depth after release.</t>
        </is>
      </c>
      <c r="I18" s="3" t="inlineStr">
        <is>
          <t>TODO0314 section 5</t>
        </is>
      </c>
      <c r="J18" s="3" t="inlineStr">
        <is>
          <t>2026-03-14</t>
        </is>
      </c>
      <c r="K18" s="9" t="inlineStr">
        <is>
          <t>Prayfor landing rebuilt with 2 hero CTAs and 3 explicit entry flows.</t>
        </is>
      </c>
      <c r="L18" s="3" t="inlineStr">
        <is>
          <t>R1-P1P2</t>
        </is>
      </c>
      <c r="M18" s="3" t="inlineStr">
        <is>
          <t>c85c8b0</t>
        </is>
      </c>
    </row>
    <row r="19" ht="47.25" customHeight="1">
      <c r="A19" s="3" t="inlineStr">
        <is>
          <t>TASK-018</t>
        </is>
      </c>
      <c r="B19" s="3" t="inlineStr">
        <is>
          <t>Frontend</t>
        </is>
      </c>
      <c r="C19" s="9" t="inlineStr">
        <is>
          <t>縮短 Hero 高度，首屏直接露出搜尋區或部分卡片</t>
        </is>
      </c>
      <c r="D19" s="3" t="inlineStr">
        <is>
          <t>P1</t>
        </is>
      </c>
      <c r="E19" s="3" t="inlineStr">
        <is>
          <t>Done</t>
        </is>
      </c>
      <c r="F19" s="3" t="n">
        <v>100</v>
      </c>
      <c r="G19" s="3" t="inlineStr">
        <is>
          <t>Codex</t>
        </is>
      </c>
      <c r="H19" s="9" t="inlineStr">
        <is>
          <t>Collect mobile bounce-rate delta after deploy.</t>
        </is>
      </c>
      <c r="I19" s="3" t="inlineStr">
        <is>
          <t>TODO0314 section 5</t>
        </is>
      </c>
      <c r="J19" s="3" t="inlineStr">
        <is>
          <t>2026-03-14</t>
        </is>
      </c>
      <c r="K19" s="9" t="inlineStr">
        <is>
          <t>Hero height reduced for desktop/mobile to expose below-fold content earlier.</t>
        </is>
      </c>
      <c r="L19" s="3" t="inlineStr">
        <is>
          <t>R1-P1P2</t>
        </is>
      </c>
      <c r="M19" s="3" t="inlineStr">
        <is>
          <t>c85c8b0</t>
        </is>
      </c>
    </row>
    <row r="20" ht="31.5" customHeight="1">
      <c r="A20" s="3" t="inlineStr">
        <is>
          <t>TASK-019</t>
        </is>
      </c>
      <c r="B20" s="3" t="inlineStr">
        <is>
          <t>Frontend</t>
        </is>
      </c>
      <c r="C20" s="9" t="inlineStr">
        <is>
          <t>把搜尋 debounce 從 2000ms 降到 300-500ms</t>
        </is>
      </c>
      <c r="D20" s="3" t="inlineStr">
        <is>
          <t>P1</t>
        </is>
      </c>
      <c r="E20" s="3" t="inlineStr">
        <is>
          <t>Done</t>
        </is>
      </c>
      <c r="F20" s="3" t="n">
        <v>100</v>
      </c>
      <c r="G20" s="3" t="inlineStr">
        <is>
          <t>Codex</t>
        </is>
      </c>
      <c r="H20" s="9" t="inlineStr">
        <is>
          <t>Monitor search metrics and typo tolerance tuning.</t>
        </is>
      </c>
      <c r="I20" s="3" t="inlineStr">
        <is>
          <t>TODO0314 section 5</t>
        </is>
      </c>
      <c r="J20" s="3" t="inlineStr">
        <is>
          <t>2026-03-14</t>
        </is>
      </c>
      <c r="K20" s="9" t="inlineStr">
        <is>
          <t>Debounce lowered to 450ms in HomePrayerExplorer.</t>
        </is>
      </c>
      <c r="L20" s="3" t="inlineStr">
        <is>
          <t>R1-P1P2</t>
        </is>
      </c>
      <c r="M20" s="3" t="inlineStr">
        <is>
          <t>c85c8b0</t>
        </is>
      </c>
    </row>
    <row r="21" ht="47.25" customHeight="1">
      <c r="A21" s="3" t="inlineStr">
        <is>
          <t>TASK-020</t>
        </is>
      </c>
      <c r="B21" s="3" t="inlineStr">
        <is>
          <t>Frontend</t>
        </is>
      </c>
      <c r="C21" s="9" t="inlineStr">
        <is>
          <t>增加搜尋空狀態的導引與推薦分類</t>
        </is>
      </c>
      <c r="D21" s="3" t="inlineStr">
        <is>
          <t>P1</t>
        </is>
      </c>
      <c r="E21" s="3" t="inlineStr">
        <is>
          <t>Done</t>
        </is>
      </c>
      <c r="F21" s="3" t="n">
        <v>100</v>
      </c>
      <c r="G21" s="3" t="inlineStr">
        <is>
          <t>Codex</t>
        </is>
      </c>
      <c r="H21" s="9" t="inlineStr">
        <is>
          <t>A/B test empty-state wording and click-through.</t>
        </is>
      </c>
      <c r="I21" s="3" t="inlineStr">
        <is>
          <t>TODO0314 section 5</t>
        </is>
      </c>
      <c r="J21" s="3" t="inlineStr">
        <is>
          <t>2026-03-14</t>
        </is>
      </c>
      <c r="K21" s="9" t="inlineStr">
        <is>
          <t>Added no-result guidance, fallback category chips, and popular wall shortcut.</t>
        </is>
      </c>
      <c r="L21" s="3" t="inlineStr">
        <is>
          <t>R1-P1P2</t>
        </is>
      </c>
      <c r="M21" s="3" t="inlineStr">
        <is>
          <t>c85c8b0</t>
        </is>
      </c>
    </row>
    <row r="22" ht="31.5" customHeight="1">
      <c r="A22" s="3" t="inlineStr">
        <is>
          <t>TASK-021</t>
        </is>
      </c>
      <c r="B22" s="3" t="inlineStr">
        <is>
          <t>Frontend</t>
        </is>
      </c>
      <c r="C22" s="9" t="inlineStr">
        <is>
          <t>強化卡片資訊層級：標題、類別、回應數、最近更新</t>
        </is>
      </c>
      <c r="D22" s="3" t="inlineStr">
        <is>
          <t>P1</t>
        </is>
      </c>
      <c r="E22" s="3" t="inlineStr">
        <is>
          <t>Not Started</t>
        </is>
      </c>
      <c r="F22" s="3" t="n">
        <v>0</v>
      </c>
      <c r="G22" s="3" t="n"/>
      <c r="H22" s="9" t="n"/>
      <c r="I22" s="3" t="inlineStr">
        <is>
          <t>TODO0314 section 5</t>
        </is>
      </c>
      <c r="J22" s="3" t="inlineStr">
        <is>
          <t>2026-03-14</t>
        </is>
      </c>
      <c r="K22" s="9" t="n"/>
      <c r="L22" s="3" t="n"/>
      <c r="M22" s="3" t="n"/>
    </row>
    <row r="23" ht="47.25" customHeight="1">
      <c r="A23" s="3" t="inlineStr">
        <is>
          <t>TASK-022</t>
        </is>
      </c>
      <c r="B23" s="3" t="inlineStr">
        <is>
          <t>Frontend</t>
        </is>
      </c>
      <c r="C23" s="9" t="inlineStr">
        <is>
          <t>簡化手機版詳情頁浮動元素</t>
        </is>
      </c>
      <c r="D23" s="3" t="inlineStr">
        <is>
          <t>P1</t>
        </is>
      </c>
      <c r="E23" s="3" t="inlineStr">
        <is>
          <t>Done</t>
        </is>
      </c>
      <c r="F23" s="3" t="n">
        <v>100</v>
      </c>
      <c r="G23" s="3" t="inlineStr">
        <is>
          <t>Codex</t>
        </is>
      </c>
      <c r="H23" s="9" t="inlineStr">
        <is>
          <t>Validate mobile interaction on real devices.</t>
        </is>
      </c>
      <c r="I23" s="3" t="inlineStr">
        <is>
          <t>TODO0314 section 5</t>
        </is>
      </c>
      <c r="J23" s="3" t="inlineStr">
        <is>
          <t>2026-03-14</t>
        </is>
      </c>
      <c r="K23" s="9" t="inlineStr">
        <is>
          <t>Mobile floating prev/next arrows disabled; added inline previous/next cards block.</t>
        </is>
      </c>
      <c r="L23" s="3" t="inlineStr">
        <is>
          <t>R1-P1P2</t>
        </is>
      </c>
      <c r="M23" s="3" t="inlineStr">
        <is>
          <t>c85c8b0</t>
        </is>
      </c>
    </row>
    <row r="24">
      <c r="A24" s="3" t="inlineStr">
        <is>
          <t>TASK-023</t>
        </is>
      </c>
      <c r="B24" s="3" t="inlineStr">
        <is>
          <t>Frontend</t>
        </is>
      </c>
      <c r="C24" s="9" t="inlineStr">
        <is>
          <t>將播放器改成低干擾 mini player 方案</t>
        </is>
      </c>
      <c r="D24" s="3" t="inlineStr">
        <is>
          <t>P1</t>
        </is>
      </c>
      <c r="E24" s="3" t="inlineStr">
        <is>
          <t>Not Started</t>
        </is>
      </c>
      <c r="F24" s="3" t="n">
        <v>0</v>
      </c>
      <c r="G24" s="3" t="n"/>
      <c r="H24" s="9" t="n"/>
      <c r="I24" s="3" t="inlineStr">
        <is>
          <t>TODO0314 section 5</t>
        </is>
      </c>
      <c r="J24" s="3" t="inlineStr">
        <is>
          <t>2026-03-14</t>
        </is>
      </c>
      <c r="K24" s="9" t="n"/>
      <c r="L24" s="3" t="n"/>
      <c r="M24" s="3" t="n"/>
    </row>
    <row r="25">
      <c r="A25" s="3" t="inlineStr">
        <is>
          <t>TASK-024</t>
        </is>
      </c>
      <c r="B25" s="3" t="inlineStr">
        <is>
          <t>Frontend</t>
        </is>
      </c>
      <c r="C25" s="9" t="inlineStr">
        <is>
          <t>將會員中心改成分頁式或分段摘要式資訊架構</t>
        </is>
      </c>
      <c r="D25" s="3" t="inlineStr">
        <is>
          <t>P1</t>
        </is>
      </c>
      <c r="E25" s="3" t="inlineStr">
        <is>
          <t>Not Started</t>
        </is>
      </c>
      <c r="F25" s="3" t="n">
        <v>0</v>
      </c>
      <c r="G25" s="3" t="n"/>
      <c r="H25" s="9" t="n"/>
      <c r="I25" s="3" t="inlineStr">
        <is>
          <t>TODO0314 section 5</t>
        </is>
      </c>
      <c r="J25" s="3" t="inlineStr">
        <is>
          <t>2026-03-14</t>
        </is>
      </c>
      <c r="K25" s="9" t="n"/>
      <c r="L25" s="3" t="n"/>
      <c r="M25" s="3" t="n"/>
    </row>
    <row r="26" ht="63" customHeight="1">
      <c r="A26" s="3" t="inlineStr">
        <is>
          <t>TASK-025</t>
        </is>
      </c>
      <c r="B26" s="3" t="inlineStr">
        <is>
          <t>Frontend</t>
        </is>
      </c>
      <c r="C26" s="9" t="inlineStr">
        <is>
          <t>清理 `/legacy` 圖片與舊連結依賴</t>
        </is>
      </c>
      <c r="D26" s="3" t="inlineStr">
        <is>
          <t>P1</t>
        </is>
      </c>
      <c r="E26" s="3" t="inlineStr">
        <is>
          <t>In Progress</t>
        </is>
      </c>
      <c r="F26" s="3" t="n">
        <v>65</v>
      </c>
      <c r="G26" s="3" t="inlineStr">
        <is>
          <t>Codex</t>
        </is>
      </c>
      <c r="H26" s="9" t="inlineStr">
        <is>
          <t>Purge remaining /legacy image usage from non-critical pages.</t>
        </is>
      </c>
      <c r="I26" s="3" t="inlineStr">
        <is>
          <t>TODO0314 section 5</t>
        </is>
      </c>
      <c r="J26" s="3" t="inlineStr">
        <is>
          <t>2026-03-14</t>
        </is>
      </c>
      <c r="K26" s="9" t="inlineStr">
        <is>
          <t>Removed key legacy dependencies in site chrome/admin logos and prayfor landing.</t>
        </is>
      </c>
      <c r="L26" s="3" t="inlineStr">
        <is>
          <t>R1-P1P2</t>
        </is>
      </c>
      <c r="M26" s="3" t="inlineStr">
        <is>
          <t>c85c8b0</t>
        </is>
      </c>
    </row>
    <row r="27">
      <c r="A27" s="3" t="inlineStr">
        <is>
          <t>TASK-026</t>
        </is>
      </c>
      <c r="B27" s="3" t="inlineStr">
        <is>
          <t>Frontend</t>
        </is>
      </c>
      <c r="C27" s="9" t="inlineStr">
        <is>
          <t>收斂 header 與 mobile override CSS</t>
        </is>
      </c>
      <c r="D27" s="3" t="inlineStr">
        <is>
          <t>P1</t>
        </is>
      </c>
      <c r="E27" s="3" t="inlineStr">
        <is>
          <t>Not Started</t>
        </is>
      </c>
      <c r="F27" s="3" t="n">
        <v>0</v>
      </c>
      <c r="G27" s="3" t="n"/>
      <c r="H27" s="9" t="n"/>
      <c r="I27" s="3" t="inlineStr">
        <is>
          <t>TODO0314 section 5</t>
        </is>
      </c>
      <c r="J27" s="3" t="inlineStr">
        <is>
          <t>2026-03-14</t>
        </is>
      </c>
      <c r="K27" s="9" t="n"/>
      <c r="L27" s="3" t="n"/>
      <c r="M27" s="3" t="n"/>
    </row>
    <row r="28" ht="31.5" customHeight="1">
      <c r="A28" s="3" t="inlineStr">
        <is>
          <t>TASK-027</t>
        </is>
      </c>
      <c r="B28" s="3" t="inlineStr">
        <is>
          <t>Frontend</t>
        </is>
      </c>
      <c r="C28" s="9" t="inlineStr">
        <is>
          <t>精簡註冊欄位，降低初次註冊負擔</t>
        </is>
      </c>
      <c r="D28" s="3" t="inlineStr">
        <is>
          <t>P1</t>
        </is>
      </c>
      <c r="E28" s="3" t="inlineStr">
        <is>
          <t>Done</t>
        </is>
      </c>
      <c r="F28" s="3" t="n">
        <v>100</v>
      </c>
      <c r="G28" s="3" t="inlineStr">
        <is>
          <t>Codex</t>
        </is>
      </c>
      <c r="H28" s="9" t="inlineStr">
        <is>
          <t>Consider step-2 profile completion prompt in portal.</t>
        </is>
      </c>
      <c r="I28" s="3" t="inlineStr">
        <is>
          <t>TODO0314 section 5</t>
        </is>
      </c>
      <c r="J28" s="3" t="inlineStr">
        <is>
          <t>2026-03-14</t>
        </is>
      </c>
      <c r="K28" s="9" t="inlineStr">
        <is>
          <t>Faith/country changed to optional in signup form + API.</t>
        </is>
      </c>
      <c r="L28" s="3" t="inlineStr">
        <is>
          <t>R1-P1P2</t>
        </is>
      </c>
      <c r="M28" s="3" t="inlineStr">
        <is>
          <t>c85c8b0</t>
        </is>
      </c>
    </row>
    <row r="29" ht="47.25" customHeight="1">
      <c r="A29" s="3" t="inlineStr">
        <is>
          <t>TASK-028</t>
        </is>
      </c>
      <c r="B29" s="3" t="inlineStr">
        <is>
          <t>Admin</t>
        </is>
      </c>
      <c r="C29" s="9" t="inlineStr">
        <is>
          <t>修復手機版側欄導覽（目前 CSS 有 `.is-open` 規則但缺少實際切換機制）</t>
        </is>
      </c>
      <c r="D29" s="3" t="inlineStr">
        <is>
          <t>P1</t>
        </is>
      </c>
      <c r="E29" s="3" t="inlineStr">
        <is>
          <t>Done</t>
        </is>
      </c>
      <c r="F29" s="3" t="n">
        <v>100</v>
      </c>
      <c r="G29" s="3" t="inlineStr">
        <is>
          <t>Codex</t>
        </is>
      </c>
      <c r="H29" s="9" t="inlineStr">
        <is>
          <t>Run device QA for focus trap/overlay close behavior.</t>
        </is>
      </c>
      <c r="I29" s="3" t="inlineStr">
        <is>
          <t>TODO0314 section 5</t>
        </is>
      </c>
      <c r="J29" s="3" t="inlineStr">
        <is>
          <t>2026-03-14</t>
        </is>
      </c>
      <c r="K29" s="9" t="inlineStr">
        <is>
          <t>Admin layout now has mobile sidebar toggle + backdrop + close-on-navigation.</t>
        </is>
      </c>
      <c r="L29" s="3" t="inlineStr">
        <is>
          <t>R1-P1P2</t>
        </is>
      </c>
      <c r="M29" s="3" t="inlineStr">
        <is>
          <t>c85c8b0</t>
        </is>
      </c>
    </row>
    <row r="30" ht="63" customHeight="1">
      <c r="A30" s="3" t="inlineStr">
        <is>
          <t>TASK-029</t>
        </is>
      </c>
      <c r="B30" s="3" t="inlineStr">
        <is>
          <t>Admin</t>
        </is>
      </c>
      <c r="C30" s="9" t="inlineStr">
        <is>
          <t>將管理頁大表格改為可橫向滑動或卡片模式，避免手機版不可讀</t>
        </is>
      </c>
      <c r="D30" s="3" t="inlineStr">
        <is>
          <t>P1</t>
        </is>
      </c>
      <c r="E30" s="3" t="inlineStr">
        <is>
          <t>Done</t>
        </is>
      </c>
      <c r="F30" s="3" t="n">
        <v>100</v>
      </c>
      <c r="G30" s="3" t="inlineStr">
        <is>
          <t>Codex</t>
        </is>
      </c>
      <c r="H30" s="9" t="inlineStr">
        <is>
          <t>Apply same table-wrap pattern to any new admin table module.</t>
        </is>
      </c>
      <c r="I30" s="3" t="inlineStr">
        <is>
          <t>TODO0314 section 5</t>
        </is>
      </c>
      <c r="J30" s="3" t="inlineStr">
        <is>
          <t>2026-03-14</t>
        </is>
      </c>
      <c r="K30" s="9" t="inlineStr">
        <is>
          <t>Introduced admin-table-wrap and applied to prayfor/prayerresponse/users/content tables.</t>
        </is>
      </c>
      <c r="L30" s="3" t="inlineStr">
        <is>
          <t>R1-P1P2</t>
        </is>
      </c>
      <c r="M30" s="3" t="inlineStr">
        <is>
          <t>c85c8b0</t>
        </is>
      </c>
    </row>
    <row r="31" ht="47.25" customHeight="1">
      <c r="A31" s="3" t="inlineStr">
        <is>
          <t>TASK-030</t>
        </is>
      </c>
      <c r="B31" s="3" t="inlineStr">
        <is>
          <t>Admin</t>
        </is>
      </c>
      <c r="C31" s="9" t="inlineStr">
        <is>
          <t>合併 `/admin/content` 與 `/admin/marketing` 的 Banner 編輯來源，避免雙入口衝突</t>
        </is>
      </c>
      <c r="D31" s="3" t="inlineStr">
        <is>
          <t>P1</t>
        </is>
      </c>
      <c r="E31" s="3" t="inlineStr">
        <is>
          <t>Done</t>
        </is>
      </c>
      <c r="F31" s="3" t="n">
        <v>100</v>
      </c>
      <c r="G31" s="3" t="inlineStr">
        <is>
          <t>Codex</t>
        </is>
      </c>
      <c r="H31" s="9" t="inlineStr">
        <is>
          <t>Remove stale links/references to old marketing editor in docs if any.</t>
        </is>
      </c>
      <c r="I31" s="3" t="inlineStr">
        <is>
          <t>TODO0314 section 5</t>
        </is>
      </c>
      <c r="J31" s="3" t="inlineStr">
        <is>
          <t>2026-03-14</t>
        </is>
      </c>
      <c r="K31" s="9" t="inlineStr">
        <is>
          <t>Admin marketing route now redirects to content; single banner editing source retained.</t>
        </is>
      </c>
      <c r="L31" s="3" t="inlineStr">
        <is>
          <t>R1-P1P2</t>
        </is>
      </c>
      <c r="M31" s="3" t="inlineStr">
        <is>
          <t>c85c8b0</t>
        </is>
      </c>
    </row>
    <row r="32" ht="78.75" customHeight="1">
      <c r="A32" s="3" t="inlineStr">
        <is>
          <t>TASK-031</t>
        </is>
      </c>
      <c r="B32" s="3" t="inlineStr">
        <is>
          <t>Admin</t>
        </is>
      </c>
      <c r="C32" s="9" t="inlineStr">
        <is>
          <t>將搜尋改為明確 debounce（目前多頁為每次輸入即觸發查詢）</t>
        </is>
      </c>
      <c r="D32" s="3" t="inlineStr">
        <is>
          <t>P1</t>
        </is>
      </c>
      <c r="E32" s="3" t="inlineStr">
        <is>
          <t>In Progress</t>
        </is>
      </c>
      <c r="F32" s="3" t="n">
        <v>80</v>
      </c>
      <c r="G32" s="3" t="inlineStr">
        <is>
          <t>Codex</t>
        </is>
      </c>
      <c r="H32" s="9" t="inlineStr">
        <is>
          <t>Audit remaining admin pages with search to ensure debounce parity.</t>
        </is>
      </c>
      <c r="I32" s="3" t="inlineStr">
        <is>
          <t>TODO0314 section 5</t>
        </is>
      </c>
      <c r="J32" s="3" t="inlineStr">
        <is>
          <t>2026-03-14</t>
        </is>
      </c>
      <c r="K32" s="9" t="inlineStr">
        <is>
          <t>Added shared useDebouncedValue hook and applied on prayfor/prayerresponse/users filters.</t>
        </is>
      </c>
      <c r="L32" s="3" t="inlineStr">
        <is>
          <t>R1-P1P2</t>
        </is>
      </c>
      <c r="M32" s="3" t="inlineStr">
        <is>
          <t>c85c8b0</t>
        </is>
      </c>
    </row>
    <row r="33" ht="63" customHeight="1">
      <c r="A33" s="3" t="inlineStr">
        <is>
          <t>TASK-032</t>
        </is>
      </c>
      <c r="B33" s="3" t="inlineStr">
        <is>
          <t>Admin</t>
        </is>
      </c>
      <c r="C33" s="9" t="inlineStr">
        <is>
          <t>統一後台文案與狀態字詞（中英混用、語氣不一致）</t>
        </is>
      </c>
      <c r="D33" s="3" t="inlineStr">
        <is>
          <t>P1</t>
        </is>
      </c>
      <c r="E33" s="3" t="inlineStr">
        <is>
          <t>In Progress</t>
        </is>
      </c>
      <c r="F33" s="3" t="n">
        <v>60</v>
      </c>
      <c r="G33" s="3" t="inlineStr">
        <is>
          <t>Codex</t>
        </is>
      </c>
      <c r="H33" s="9" t="inlineStr">
        <is>
          <t>Continue copy pass on secondary admin pages (log/settings/wallet alerts).</t>
        </is>
      </c>
      <c r="I33" s="3" t="inlineStr">
        <is>
          <t>TODO0314 section 5</t>
        </is>
      </c>
      <c r="J33" s="3" t="inlineStr">
        <is>
          <t>2026-03-14</t>
        </is>
      </c>
      <c r="K33" s="9" t="inlineStr">
        <is>
          <t>Admin login/layout and moderation status labels normalized to consistent Traditional Chinese wording.</t>
        </is>
      </c>
      <c r="L33" s="3" t="inlineStr">
        <is>
          <t>R1-P1P2</t>
        </is>
      </c>
      <c r="M33" s="3" t="inlineStr">
        <is>
          <t>c85c8b0</t>
        </is>
      </c>
    </row>
    <row r="34" ht="63" customHeight="1">
      <c r="A34" s="3" t="inlineStr">
        <is>
          <t>TASK-033</t>
        </is>
      </c>
      <c r="B34" s="3" t="inlineStr">
        <is>
          <t>Admin</t>
        </is>
      </c>
      <c r="C34" s="9" t="inlineStr">
        <is>
          <t>將「存在路由但無導覽入口」的頁面整併到清楚資訊架構</t>
        </is>
      </c>
      <c r="D34" s="3" t="inlineStr">
        <is>
          <t>P1</t>
        </is>
      </c>
      <c r="E34" s="3" t="inlineStr">
        <is>
          <t>In Progress</t>
        </is>
      </c>
      <c r="F34" s="3" t="n">
        <v>55</v>
      </c>
      <c r="G34" s="3" t="inlineStr">
        <is>
          <t>Codex</t>
        </is>
      </c>
      <c r="H34" s="9" t="inlineStr">
        <is>
          <t>Review remaining hidden admin routes and decide merge/remove strategy.</t>
        </is>
      </c>
      <c r="I34" s="3" t="inlineStr">
        <is>
          <t>TODO0314 section 5</t>
        </is>
      </c>
      <c r="J34" s="3" t="inlineStr">
        <is>
          <t>2026-03-14</t>
        </is>
      </c>
      <c r="K34" s="9" t="inlineStr">
        <is>
          <t>Added home-categories into admin nav and collapsed marketing editing entry via redirect.</t>
        </is>
      </c>
      <c r="L34" s="3" t="inlineStr">
        <is>
          <t>R1-P1P2</t>
        </is>
      </c>
      <c r="M34" s="3" t="inlineStr">
        <is>
          <t>c85c8b0</t>
        </is>
      </c>
    </row>
    <row r="35" ht="47.25" customHeight="1">
      <c r="A35" s="3" t="inlineStr">
        <is>
          <t>TASK-034</t>
        </is>
      </c>
      <c r="B35" s="3" t="inlineStr">
        <is>
          <t>Frontend</t>
        </is>
      </c>
      <c r="C35" s="9" t="inlineStr">
        <is>
          <t>檢查鍵盤操作與閱讀器焦點流程</t>
        </is>
      </c>
      <c r="D35" s="3" t="inlineStr">
        <is>
          <t>P2</t>
        </is>
      </c>
      <c r="E35" s="3" t="inlineStr">
        <is>
          <t>In Progress</t>
        </is>
      </c>
      <c r="F35" s="3" t="n">
        <v>35</v>
      </c>
      <c r="G35" s="3" t="inlineStr">
        <is>
          <t>Codex</t>
        </is>
      </c>
      <c r="H35" s="9" t="inlineStr">
        <is>
          <t>Run full keyboard-flow audit across header menu, player, comments, and admin tables.</t>
        </is>
      </c>
      <c r="I35" s="3" t="inlineStr">
        <is>
          <t>TODO0314 section 5</t>
        </is>
      </c>
      <c r="J35" s="3" t="inlineStr">
        <is>
          <t>2026-03-14</t>
        </is>
      </c>
      <c r="K35" s="9" t="inlineStr">
        <is>
          <t>Added aria-live regions and focus-visible styles for new search and action controls.</t>
        </is>
      </c>
      <c r="L35" s="3" t="inlineStr">
        <is>
          <t>R1-P1P2</t>
        </is>
      </c>
      <c r="M35" s="3" t="inlineStr">
        <is>
          <t>c85c8b0</t>
        </is>
      </c>
    </row>
    <row r="36" ht="47.25" customHeight="1">
      <c r="A36" s="3" t="inlineStr">
        <is>
          <t>TASK-035</t>
        </is>
      </c>
      <c r="B36" s="3" t="inlineStr">
        <is>
          <t>Frontend</t>
        </is>
      </c>
      <c r="C36" s="9" t="inlineStr">
        <is>
          <t>補齊成功 / 錯誤 / 載入狀態的一致 UI</t>
        </is>
      </c>
      <c r="D36" s="3" t="inlineStr">
        <is>
          <t>P2</t>
        </is>
      </c>
      <c r="E36" s="3" t="inlineStr">
        <is>
          <t>In Progress</t>
        </is>
      </c>
      <c r="F36" s="3" t="n">
        <v>30</v>
      </c>
      <c r="G36" s="3" t="inlineStr">
        <is>
          <t>Codex</t>
        </is>
      </c>
      <c r="H36" s="9" t="inlineStr">
        <is>
          <t>Unify toast/inline status patterns across auth, detail, and admin actions.</t>
        </is>
      </c>
      <c r="I36" s="3" t="inlineStr">
        <is>
          <t>TODO0314 section 5</t>
        </is>
      </c>
      <c r="J36" s="3" t="inlineStr">
        <is>
          <t>2026-03-14</t>
        </is>
      </c>
      <c r="K36" s="9" t="inlineStr">
        <is>
          <t>Search/loading/empty states now expose consistent status semantics in explorer section.</t>
        </is>
      </c>
      <c r="L36" s="3" t="inlineStr">
        <is>
          <t>R1-P1P2</t>
        </is>
      </c>
      <c r="M36" s="3" t="inlineStr">
        <is>
          <t>c85c8b0</t>
        </is>
      </c>
    </row>
    <row r="37">
      <c r="A37" s="3" t="inlineStr">
        <is>
          <t>TASK-036</t>
        </is>
      </c>
      <c r="B37" s="3" t="inlineStr">
        <is>
          <t>Frontend</t>
        </is>
      </c>
      <c r="C37" s="9" t="inlineStr">
        <is>
          <t>建立視覺設計 token 與元件規格</t>
        </is>
      </c>
      <c r="D37" s="3" t="inlineStr">
        <is>
          <t>P2</t>
        </is>
      </c>
      <c r="E37" s="3" t="inlineStr">
        <is>
          <t>Not Started</t>
        </is>
      </c>
      <c r="F37" s="3" t="n">
        <v>0</v>
      </c>
      <c r="G37" s="3" t="n"/>
      <c r="H37" s="9" t="n"/>
      <c r="I37" s="3" t="inlineStr">
        <is>
          <t>TODO0314 section 5</t>
        </is>
      </c>
      <c r="J37" s="3" t="inlineStr">
        <is>
          <t>2026-03-14</t>
        </is>
      </c>
      <c r="K37" s="9" t="n"/>
      <c r="L37" s="3" t="n"/>
      <c r="M37" s="3" t="n"/>
    </row>
    <row r="38">
      <c r="A38" s="3" t="inlineStr">
        <is>
          <t>TASK-037</t>
        </is>
      </c>
      <c r="B38" s="3" t="inlineStr">
        <is>
          <t>Frontend</t>
        </is>
      </c>
      <c r="C38" s="9" t="inlineStr">
        <is>
          <t>補充 FAQ / 平台運作說明 / 聯絡方式 / 條款入口</t>
        </is>
      </c>
      <c r="D38" s="3" t="inlineStr">
        <is>
          <t>P2</t>
        </is>
      </c>
      <c r="E38" s="3" t="inlineStr">
        <is>
          <t>Not Started</t>
        </is>
      </c>
      <c r="F38" s="3" t="n">
        <v>0</v>
      </c>
      <c r="G38" s="3" t="n"/>
      <c r="H38" s="9" t="n"/>
      <c r="I38" s="3" t="inlineStr">
        <is>
          <t>TODO0314 section 5</t>
        </is>
      </c>
      <c r="J38" s="3" t="inlineStr">
        <is>
          <t>2026-03-14</t>
        </is>
      </c>
      <c r="K38" s="9" t="n"/>
      <c r="L38" s="3" t="n"/>
      <c r="M38" s="3" t="n"/>
    </row>
    <row r="39" ht="31.5" customHeight="1">
      <c r="A39" s="3" t="inlineStr">
        <is>
          <t>TASK-038</t>
        </is>
      </c>
      <c r="B39" s="3" t="inlineStr">
        <is>
          <t>Admin</t>
        </is>
      </c>
      <c r="C39" s="9" t="inlineStr">
        <is>
          <t>建立後台設計規範（表單、表格、狀態、對話框、通知）</t>
        </is>
      </c>
      <c r="D39" s="3" t="inlineStr">
        <is>
          <t>P2</t>
        </is>
      </c>
      <c r="E39" s="3" t="inlineStr">
        <is>
          <t>Not Started</t>
        </is>
      </c>
      <c r="F39" s="3" t="n">
        <v>0</v>
      </c>
      <c r="G39" s="3" t="n"/>
      <c r="H39" s="9" t="n"/>
      <c r="I39" s="3" t="inlineStr">
        <is>
          <t>TODO0314 section 5</t>
        </is>
      </c>
      <c r="J39" s="3" t="inlineStr">
        <is>
          <t>2026-03-14</t>
        </is>
      </c>
      <c r="K39" s="9" t="n"/>
      <c r="L39" s="3" t="n"/>
      <c r="M39" s="3" t="n"/>
    </row>
    <row r="40" ht="31.5" customHeight="1">
      <c r="A40" s="3" t="inlineStr">
        <is>
          <t>TASK-039</t>
        </is>
      </c>
      <c r="B40" s="3" t="inlineStr">
        <is>
          <t>Admin</t>
        </is>
      </c>
      <c r="C40" s="9" t="inlineStr">
        <is>
          <t>補齊 admin 操作審計可視化與異常警示（不只寫 log，還要可追蹤）</t>
        </is>
      </c>
      <c r="D40" s="3" t="inlineStr">
        <is>
          <t>P2</t>
        </is>
      </c>
      <c r="E40" s="3" t="inlineStr">
        <is>
          <t>Not Started</t>
        </is>
      </c>
      <c r="F40" s="3" t="n">
        <v>0</v>
      </c>
      <c r="G40" s="3" t="n"/>
      <c r="H40" s="9" t="n"/>
      <c r="I40" s="3" t="inlineStr">
        <is>
          <t>TODO0314 section 5</t>
        </is>
      </c>
      <c r="J40" s="3" t="inlineStr">
        <is>
          <t>2026-03-14</t>
        </is>
      </c>
      <c r="K40" s="9" t="n"/>
      <c r="L40" s="3" t="n"/>
      <c r="M40" s="3" t="n"/>
    </row>
  </sheetData>
  <autoFilter ref="A1:M40"/>
  <dataValidations count="2">
    <dataValidation sqref="E2:E40" showDropDown="0" showInputMessage="0" showErrorMessage="0" allowBlank="0" type="list">
      <formula1>"Not Started,In Progress,Blocked,Done"</formula1>
    </dataValidation>
    <dataValidation sqref="F2:F40" showDropDown="0" showInputMessage="0" showErrorMessage="0" allowBlank="1" type="whole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.75"/>
  <cols>
    <col width="14" customWidth="1" min="1" max="1"/>
    <col width="30" customWidth="1" min="2" max="2"/>
    <col width="24" customWidth="1" min="3" max="3"/>
    <col width="28" customWidth="1" min="4" max="4"/>
    <col width="30" customWidth="1" min="5" max="5"/>
    <col width="14" customWidth="1" min="6" max="6"/>
  </cols>
  <sheetData>
    <row r="1">
      <c r="A1" s="7" t="inlineStr">
        <is>
          <t>Date</t>
        </is>
      </c>
      <c r="B1" s="7" t="inlineStr">
        <is>
          <t>Summary</t>
        </is>
      </c>
      <c r="C1" s="7" t="inlineStr">
        <is>
          <t>Completed Task IDs</t>
        </is>
      </c>
      <c r="D1" s="7" t="inlineStr">
        <is>
          <t>Risks / Blockers</t>
        </is>
      </c>
      <c r="E1" s="7" t="inlineStr">
        <is>
          <t>Next Week Plan</t>
        </is>
      </c>
      <c r="F1" s="7" t="inlineStr">
        <is>
          <t>Owner</t>
        </is>
      </c>
    </row>
    <row r="2">
      <c r="A2" s="3" t="inlineStr">
        <is>
          <t>2026-03-14</t>
        </is>
      </c>
      <c r="B2" s="3" t="inlineStr">
        <is>
          <t>??????</t>
        </is>
      </c>
      <c r="C2" s="3" t="n"/>
      <c r="D2" s="3" t="n"/>
      <c r="E2" s="3" t="n"/>
      <c r="F2" s="3" t="n"/>
    </row>
    <row r="3">
      <c r="A3" t="inlineStr">
        <is>
          <t>2026-03-14 08:39:41</t>
        </is>
      </c>
      <c r="B3" t="inlineStr">
        <is>
          <t>[AUTO] Manual sync: main @ c85c8b0</t>
        </is>
      </c>
      <c r="E3" t="inlineStr">
        <is>
          <t>Update task status and release mapping.</t>
        </is>
      </c>
      <c r="F3" t="inlineStr">
        <is>
          <t>git-hook</t>
        </is>
      </c>
    </row>
    <row r="4">
      <c r="A4" t="inlineStr">
        <is>
          <t>2026-03-14 08:39:50</t>
        </is>
      </c>
      <c r="B4" t="inlineStr">
        <is>
          <t>[AUTO] Push recorded: main @ c85c8b0</t>
        </is>
      </c>
      <c r="E4" t="inlineStr">
        <is>
          <t>Review release status and deployment result.</t>
        </is>
      </c>
      <c r="F4" t="inlineStr">
        <is>
          <t>git-hook</t>
        </is>
      </c>
    </row>
    <row r="5">
      <c r="A5" t="inlineStr">
        <is>
          <t>2026-03-14 08:40:15</t>
        </is>
      </c>
      <c r="B5" t="inlineStr">
        <is>
          <t>[AUTO] Manual sync: main @ c85c8b0</t>
        </is>
      </c>
      <c r="E5" t="inlineStr">
        <is>
          <t>Update task status and release mapping.</t>
        </is>
      </c>
      <c r="F5" t="inlineStr">
        <is>
          <t>git-hook</t>
        </is>
      </c>
    </row>
    <row r="6">
      <c r="A6" t="inlineStr">
        <is>
          <t>2026-03-14 08:53:31</t>
        </is>
      </c>
      <c r="B6" t="inlineStr">
        <is>
          <t>[AUTO] Manual sync: main @ c85c8b0</t>
        </is>
      </c>
      <c r="E6" t="inlineStr">
        <is>
          <t>Update task status and release mapping.</t>
        </is>
      </c>
      <c r="F6" t="inlineStr">
        <is>
          <t>git-hook</t>
        </is>
      </c>
    </row>
    <row r="7">
      <c r="A7" t="inlineStr">
        <is>
          <t>2026-03-14 09:17:48</t>
        </is>
      </c>
      <c r="B7" t="inlineStr">
        <is>
          <t>[AUTO] Manual sync: main @ c85c8b0</t>
        </is>
      </c>
      <c r="E7" t="inlineStr">
        <is>
          <t>Update task status and release mapping.</t>
        </is>
      </c>
      <c r="F7" t="inlineStr">
        <is>
          <t>git-hook</t>
        </is>
      </c>
    </row>
    <row r="8">
      <c r="A8" t="inlineStr">
        <is>
          <t>2026-03-14 10:38:03</t>
        </is>
      </c>
      <c r="B8" t="inlineStr">
        <is>
          <t>[AUTO] Manual sync: main @ c85c8b0</t>
        </is>
      </c>
      <c r="E8" t="inlineStr">
        <is>
          <t>Update task status and release mapping.</t>
        </is>
      </c>
      <c r="F8" t="inlineStr">
        <is>
          <t>git-hook</t>
        </is>
      </c>
    </row>
    <row r="9">
      <c r="A9" t="inlineStr">
        <is>
          <t>2026-03-14 11:10:44</t>
        </is>
      </c>
      <c r="B9" t="inlineStr">
        <is>
          <t>[AUTO] Manual sync: main @ c85c8b0</t>
        </is>
      </c>
      <c r="E9" t="inlineStr">
        <is>
          <t>Update task status and release mapping.</t>
        </is>
      </c>
      <c r="F9" t="inlineStr">
        <is>
          <t>git-hook</t>
        </is>
      </c>
    </row>
    <row r="10">
      <c r="A10" t="inlineStr">
        <is>
          <t>2026-03-14 11:11:32</t>
        </is>
      </c>
      <c r="B10" t="inlineStr">
        <is>
          <t>[AUTO] Manual sync: main @ c85c8b0</t>
        </is>
      </c>
      <c r="E10" t="inlineStr">
        <is>
          <t>Update task status and release mapping.</t>
        </is>
      </c>
      <c r="F10" t="inlineStr">
        <is>
          <t>git-hook</t>
        </is>
      </c>
    </row>
    <row r="11">
      <c r="A11" t="inlineStr">
        <is>
          <t>2026-03-14 12:48:51</t>
        </is>
      </c>
      <c r="B11" t="inlineStr">
        <is>
          <t>[AUTO] Manual sync: main @ c85c8b0</t>
        </is>
      </c>
      <c r="E11" t="inlineStr">
        <is>
          <t>Update task status and release mapping.</t>
        </is>
      </c>
      <c r="F11" t="inlineStr">
        <is>
          <t>git-hook</t>
        </is>
      </c>
    </row>
    <row r="12">
      <c r="A12" t="inlineStr">
        <is>
          <t>2026-03-15 14:21:40</t>
        </is>
      </c>
      <c r="B12" t="inlineStr">
        <is>
          <t>[AUTO] Manual sync: main @ c85c8b0</t>
        </is>
      </c>
      <c r="E12" t="inlineStr">
        <is>
          <t>Update task status and release mapping.</t>
        </is>
      </c>
      <c r="F12" t="inlineStr">
        <is>
          <t>git-hook</t>
        </is>
      </c>
    </row>
    <row r="13">
      <c r="A13" t="inlineStr">
        <is>
          <t>2026-03-21 15:20:22</t>
        </is>
      </c>
      <c r="B13" t="inlineStr">
        <is>
          <t>[AUTO] Commit recorded: main @ ea30eb9</t>
        </is>
      </c>
      <c r="E13" t="inlineStr">
        <is>
          <t>Continue task updates and prepare push.</t>
        </is>
      </c>
      <c r="F13" t="inlineStr">
        <is>
          <t>git-hook</t>
        </is>
      </c>
    </row>
    <row r="14">
      <c r="A14" t="inlineStr">
        <is>
          <t>2026-03-21 15:53:04</t>
        </is>
      </c>
      <c r="B14" t="inlineStr">
        <is>
          <t>[AUTO] Commit recorded: main @ 9ac4d0b</t>
        </is>
      </c>
      <c r="E14" t="inlineStr">
        <is>
          <t>Continue task updates and prepare push.</t>
        </is>
      </c>
      <c r="F14" t="inlineStr">
        <is>
          <t>git-hook</t>
        </is>
      </c>
    </row>
    <row r="15">
      <c r="A15" t="inlineStr">
        <is>
          <t>2026-03-21 17:40:55</t>
        </is>
      </c>
      <c r="B15" t="inlineStr">
        <is>
          <t>[AUTO] Commit recorded: main @ 9d00e9c</t>
        </is>
      </c>
      <c r="E15" t="inlineStr">
        <is>
          <t>Continue task updates and prepare push.</t>
        </is>
      </c>
      <c r="F15" t="inlineStr">
        <is>
          <t>git-hook</t>
        </is>
      </c>
    </row>
    <row r="16">
      <c r="A16" t="inlineStr">
        <is>
          <t>2026-03-24 23:37:09</t>
        </is>
      </c>
      <c r="B16" t="inlineStr">
        <is>
          <t>[AUTO] Commit recorded: main @ d320697</t>
        </is>
      </c>
      <c r="E16" t="inlineStr">
        <is>
          <t>Continue task updates and prepare push.</t>
        </is>
      </c>
      <c r="F16" t="inlineStr">
        <is>
          <t>git-hook</t>
        </is>
      </c>
    </row>
    <row r="17">
      <c r="A17" t="inlineStr">
        <is>
          <t>2026-03-25 00:09:02</t>
        </is>
      </c>
      <c r="B17" t="inlineStr">
        <is>
          <t>[AUTO] Commit recorded: main @ 0012f38</t>
        </is>
      </c>
      <c r="E17" t="inlineStr">
        <is>
          <t>Continue task updates and prepare push.</t>
        </is>
      </c>
      <c r="F17" t="inlineStr">
        <is>
          <t>git-hook</t>
        </is>
      </c>
    </row>
    <row r="18">
      <c r="A18" t="inlineStr">
        <is>
          <t>2026-03-28 21:35:01</t>
        </is>
      </c>
      <c r="B18" t="inlineStr">
        <is>
          <t>[AUTO] Commit recorded: main @ 367b31a</t>
        </is>
      </c>
      <c r="E18" t="inlineStr">
        <is>
          <t>Continue task updates and prepare push.</t>
        </is>
      </c>
      <c r="F18" t="inlineStr">
        <is>
          <t>git-hook</t>
        </is>
      </c>
    </row>
    <row r="19">
      <c r="A19" t="inlineStr">
        <is>
          <t>2026-03-30 01:24:29</t>
        </is>
      </c>
      <c r="B19" t="inlineStr">
        <is>
          <t>[AUTO] Commit recorded: main @ 0091916</t>
        </is>
      </c>
      <c r="E19" t="inlineStr">
        <is>
          <t>Continue task updates and prepare push.</t>
        </is>
      </c>
      <c r="F19" t="inlineStr">
        <is>
          <t>git-hook</t>
        </is>
      </c>
    </row>
    <row r="20">
      <c r="A20" t="inlineStr">
        <is>
          <t>2026-03-30 01:24:58</t>
        </is>
      </c>
      <c r="B20" t="inlineStr">
        <is>
          <t>[AUTO] Commit recorded: main @ 71c12b7</t>
        </is>
      </c>
      <c r="E20" t="inlineStr">
        <is>
          <t>Continue task updates and prepare push.</t>
        </is>
      </c>
      <c r="F20" t="inlineStr">
        <is>
          <t>git-hook</t>
        </is>
      </c>
    </row>
    <row r="21">
      <c r="A21" t="inlineStr">
        <is>
          <t>2026-03-31 00:16:22</t>
        </is>
      </c>
      <c r="B21" t="inlineStr">
        <is>
          <t>[AUTO] Commit recorded: main @ 6ea34be</t>
        </is>
      </c>
      <c r="E21" t="inlineStr">
        <is>
          <t>Continue task updates and prepare push.</t>
        </is>
      </c>
      <c r="F21" t="inlineStr">
        <is>
          <t>git-hook</t>
        </is>
      </c>
    </row>
    <row r="22">
      <c r="A22" t="inlineStr">
        <is>
          <t>2026-04-02 23:17:07</t>
        </is>
      </c>
      <c r="B22" t="inlineStr">
        <is>
          <t>[AUTO] Commit recorded: main @ 8eeb610</t>
        </is>
      </c>
      <c r="E22" t="inlineStr">
        <is>
          <t>Continue task updates and prepare push.</t>
        </is>
      </c>
      <c r="F22" t="inlineStr">
        <is>
          <t>git-hook</t>
        </is>
      </c>
    </row>
    <row r="23">
      <c r="A23" t="inlineStr">
        <is>
          <t>2026-04-26 12:57:49</t>
        </is>
      </c>
      <c r="B23" t="inlineStr">
        <is>
          <t>[AUTO] Commit recorded: main @ 7d71f48</t>
        </is>
      </c>
      <c r="E23" t="inlineStr">
        <is>
          <t>Continue task updates and prepare push.</t>
        </is>
      </c>
      <c r="F23" t="inlineStr">
        <is>
          <t>git-hook</t>
        </is>
      </c>
    </row>
    <row r="24">
      <c r="A24" t="inlineStr">
        <is>
          <t>2026-04-26 13:09:29</t>
        </is>
      </c>
      <c r="B24" t="inlineStr">
        <is>
          <t>[AUTO] Commit recorded: main @ ce22e58</t>
        </is>
      </c>
      <c r="E24" t="inlineStr">
        <is>
          <t>Continue task updates and prepare push.</t>
        </is>
      </c>
      <c r="F24" t="inlineStr">
        <is>
          <t>git-hook</t>
        </is>
      </c>
    </row>
    <row r="25">
      <c r="A25" t="inlineStr">
        <is>
          <t>2026-05-05 00:56:10</t>
        </is>
      </c>
      <c r="B25" t="inlineStr">
        <is>
          <t>[AUTO] Commit recorded: main @ d8dfbe6</t>
        </is>
      </c>
      <c r="E25" t="inlineStr">
        <is>
          <t>Continue task updates and prepare push.</t>
        </is>
      </c>
      <c r="F25" t="inlineStr">
        <is>
          <t>git-hook</t>
        </is>
      </c>
    </row>
    <row r="26">
      <c r="A26" t="inlineStr">
        <is>
          <t>2026-05-09 20:01:08</t>
        </is>
      </c>
      <c r="B26" t="inlineStr">
        <is>
          <t>[AUTO] Commit recorded: main @ b034091</t>
        </is>
      </c>
      <c r="E26" t="inlineStr">
        <is>
          <t>Continue task updates and prepare push.</t>
        </is>
      </c>
      <c r="F26" t="inlineStr">
        <is>
          <t>git-hook</t>
        </is>
      </c>
    </row>
    <row r="27">
      <c r="A27" t="inlineStr">
        <is>
          <t>2026-05-10 19:36:02</t>
        </is>
      </c>
      <c r="B27" t="inlineStr">
        <is>
          <t>[AUTO] Commit recorded: main @ c3a856b</t>
        </is>
      </c>
      <c r="E27" t="inlineStr">
        <is>
          <t>Continue task updates and prepare push.</t>
        </is>
      </c>
      <c r="F27" t="inlineStr">
        <is>
          <t>git-hook</t>
        </is>
      </c>
    </row>
    <row r="28">
      <c r="A28" t="inlineStr">
        <is>
          <t>2026-05-10 19:36:25</t>
        </is>
      </c>
      <c r="B28" t="inlineStr">
        <is>
          <t>[AUTO] Commit recorded: main @ dee4b64</t>
        </is>
      </c>
      <c r="C28" t="inlineStr"/>
      <c r="D28" t="inlineStr"/>
      <c r="E28" t="inlineStr">
        <is>
          <t>Continue task updates and prepare push.</t>
        </is>
      </c>
      <c r="F28" t="inlineStr">
        <is>
          <t>git-hook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4" customWidth="1" min="1" max="1"/>
    <col width="24" customWidth="1" min="2" max="2"/>
    <col width="14" customWidth="1" min="3" max="4"/>
    <col width="24" customWidth="1" min="5" max="5"/>
    <col width="14" customWidth="1" min="6" max="9"/>
    <col width="30" customWidth="1" min="10" max="10"/>
  </cols>
  <sheetData>
    <row r="1">
      <c r="A1" s="7" t="inlineStr">
        <is>
          <t>Release ID</t>
        </is>
      </c>
      <c r="B1" s="7" t="inlineStr">
        <is>
          <t>Release Name</t>
        </is>
      </c>
      <c r="C1" s="7" t="inlineStr">
        <is>
          <t>Planned Date</t>
        </is>
      </c>
      <c r="D1" s="7" t="inlineStr">
        <is>
          <t>Status</t>
        </is>
      </c>
      <c r="E1" s="7" t="inlineStr">
        <is>
          <t>Scope</t>
        </is>
      </c>
      <c r="F1" s="7" t="inlineStr">
        <is>
          <t>Owner</t>
        </is>
      </c>
      <c r="G1" s="7" t="inlineStr">
        <is>
          <t>Start Git</t>
        </is>
      </c>
      <c r="H1" s="7" t="inlineStr">
        <is>
          <t>Target Git</t>
        </is>
      </c>
      <c r="I1" s="7" t="inlineStr">
        <is>
          <t>Actual Git</t>
        </is>
      </c>
      <c r="J1" s="7" t="inlineStr">
        <is>
          <t>Notes</t>
        </is>
      </c>
    </row>
    <row r="2">
      <c r="A2" s="3" t="inlineStr">
        <is>
          <t>REL-2026-03</t>
        </is>
      </c>
      <c r="B2" s="3" t="inlineStr">
        <is>
          <t>UX Priority Batch</t>
        </is>
      </c>
      <c r="C2" s="3" t="inlineStr">
        <is>
          <t>2026-03-14</t>
        </is>
      </c>
      <c r="D2" s="3" t="inlineStr">
        <is>
          <t>Planned</t>
        </is>
      </c>
      <c r="E2" s="3" t="inlineStr">
        <is>
          <t>Top UX + Admin UX</t>
        </is>
      </c>
      <c r="F2" s="3" t="n"/>
      <c r="G2" s="3" t="n"/>
      <c r="H2" s="3" t="n"/>
      <c r="I2" s="3" t="inlineStr">
        <is>
          <t>c85c8b0</t>
        </is>
      </c>
      <c r="J2" s="3" t="inlineStr">
        <is>
          <t>Initial tracking row</t>
        </is>
      </c>
    </row>
  </sheetData>
  <autoFilter ref="A1:J2"/>
  <dataValidations count="1">
    <dataValidation sqref="D2:D200" showDropDown="0" showInputMessage="0" showErrorMessage="0" allowBlank="0" type="list">
      <formula1>"Planned,In Progress,Blocked,Done"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.75"/>
  <cols>
    <col width="22" customWidth="1" min="1" max="1"/>
    <col width="12" customWidth="1" min="2" max="2"/>
    <col width="14" customWidth="1" min="3" max="3"/>
    <col width="12" customWidth="1" min="4" max="4"/>
    <col width="16" customWidth="1" min="5" max="5"/>
    <col width="48" customWidth="1" min="6" max="6"/>
    <col width="36" customWidth="1" min="7" max="7"/>
    <col width="44" customWidth="1" min="8" max="8"/>
  </cols>
  <sheetData>
    <row r="1">
      <c r="A1" s="7" t="inlineStr">
        <is>
          <t>Timestamp</t>
        </is>
      </c>
      <c r="B1" s="7" t="inlineStr">
        <is>
          <t>Event</t>
        </is>
      </c>
      <c r="C1" s="7" t="inlineStr">
        <is>
          <t>Branch</t>
        </is>
      </c>
      <c r="D1" s="7" t="inlineStr">
        <is>
          <t>Commit</t>
        </is>
      </c>
      <c r="E1" s="7" t="inlineStr">
        <is>
          <t>Tag</t>
        </is>
      </c>
      <c r="F1" s="7" t="inlineStr">
        <is>
          <t>Commit Message</t>
        </is>
      </c>
      <c r="G1" s="7" t="inlineStr">
        <is>
          <t>Remote</t>
        </is>
      </c>
      <c r="H1" s="7" t="inlineStr">
        <is>
          <t>Refs</t>
        </is>
      </c>
    </row>
    <row r="2">
      <c r="A2" t="inlineStr">
        <is>
          <t>2026-03-14 08:39:41</t>
        </is>
      </c>
      <c r="B2" t="inlineStr">
        <is>
          <t>manual</t>
        </is>
      </c>
      <c r="C2" t="inlineStr">
        <is>
          <t>main</t>
        </is>
      </c>
      <c r="D2" t="inlineStr">
        <is>
          <t>c85c8b0</t>
        </is>
      </c>
      <c r="E2" t="inlineStr">
        <is>
          <t>(no tag)</t>
        </is>
      </c>
      <c r="F2" t="inlineStr">
        <is>
          <t>feat: improve player visibility, mobile UX, and zh copy</t>
        </is>
      </c>
      <c r="G2" t="inlineStr">
        <is>
          <t>https://github.com/dan40912/prayer-coin.git</t>
        </is>
      </c>
    </row>
    <row r="3">
      <c r="A3" t="inlineStr">
        <is>
          <t>2026-03-14 08:39:50</t>
        </is>
      </c>
      <c r="B3" t="inlineStr">
        <is>
          <t>push</t>
        </is>
      </c>
      <c r="C3" t="inlineStr">
        <is>
          <t>main</t>
        </is>
      </c>
      <c r="D3" t="inlineStr">
        <is>
          <t>c85c8b0</t>
        </is>
      </c>
      <c r="E3" t="inlineStr">
        <is>
          <t>(no tag)</t>
        </is>
      </c>
      <c r="F3" t="inlineStr">
        <is>
          <t>feat: improve player visibility, mobile UX, and zh copy</t>
        </is>
      </c>
      <c r="G3" t="inlineStr">
        <is>
          <t>https://github.com/dan40912/prayer-coin.git</t>
        </is>
      </c>
      <c r="H3" t="inlineStr">
        <is>
          <t>refs/heads/main c85c8b0 refs/heads/main c85c8b0</t>
        </is>
      </c>
    </row>
    <row r="4">
      <c r="A4" t="inlineStr">
        <is>
          <t>2026-03-14 08:40:15</t>
        </is>
      </c>
      <c r="B4" t="inlineStr">
        <is>
          <t>manual</t>
        </is>
      </c>
      <c r="C4" t="inlineStr">
        <is>
          <t>main</t>
        </is>
      </c>
      <c r="D4" t="inlineStr">
        <is>
          <t>c85c8b0</t>
        </is>
      </c>
      <c r="E4" t="inlineStr">
        <is>
          <t>(no tag)</t>
        </is>
      </c>
      <c r="F4" t="inlineStr">
        <is>
          <t>feat: improve player visibility, mobile UX, and zh copy</t>
        </is>
      </c>
      <c r="G4" t="inlineStr">
        <is>
          <t>https://github.com/dan40912/prayer-coin.git</t>
        </is>
      </c>
    </row>
    <row r="5">
      <c r="A5" t="inlineStr">
        <is>
          <t>2026-03-14 08:53:31</t>
        </is>
      </c>
      <c r="B5" t="inlineStr">
        <is>
          <t>manual</t>
        </is>
      </c>
      <c r="C5" t="inlineStr">
        <is>
          <t>main</t>
        </is>
      </c>
      <c r="D5" t="inlineStr">
        <is>
          <t>c85c8b0</t>
        </is>
      </c>
      <c r="E5" t="inlineStr">
        <is>
          <t>(no tag)</t>
        </is>
      </c>
      <c r="F5" t="inlineStr">
        <is>
          <t>feat: improve player visibility, mobile UX, and zh copy</t>
        </is>
      </c>
      <c r="G5" t="inlineStr">
        <is>
          <t>https://github.com/dan40912/prayer-coin.git</t>
        </is>
      </c>
    </row>
    <row r="6">
      <c r="A6" t="inlineStr">
        <is>
          <t>2026-03-14 09:17:48</t>
        </is>
      </c>
      <c r="B6" t="inlineStr">
        <is>
          <t>manual</t>
        </is>
      </c>
      <c r="C6" t="inlineStr">
        <is>
          <t>main</t>
        </is>
      </c>
      <c r="D6" t="inlineStr">
        <is>
          <t>c85c8b0</t>
        </is>
      </c>
      <c r="E6" t="inlineStr">
        <is>
          <t>(no tag)</t>
        </is>
      </c>
      <c r="F6" t="inlineStr">
        <is>
          <t>feat: improve player visibility, mobile UX, and zh copy</t>
        </is>
      </c>
      <c r="G6" t="inlineStr">
        <is>
          <t>https://github.com/dan40912/prayer-coin.git</t>
        </is>
      </c>
    </row>
    <row r="7">
      <c r="A7" t="inlineStr">
        <is>
          <t>2026-03-14 10:38:03</t>
        </is>
      </c>
      <c r="B7" t="inlineStr">
        <is>
          <t>manual</t>
        </is>
      </c>
      <c r="C7" t="inlineStr">
        <is>
          <t>main</t>
        </is>
      </c>
      <c r="D7" t="inlineStr">
        <is>
          <t>c85c8b0</t>
        </is>
      </c>
      <c r="E7" t="inlineStr">
        <is>
          <t>(no tag)</t>
        </is>
      </c>
      <c r="F7" t="inlineStr">
        <is>
          <t>feat: improve player visibility, mobile UX, and zh copy</t>
        </is>
      </c>
      <c r="G7" t="inlineStr">
        <is>
          <t>https://github.com/dan40912/prayer-coin.git</t>
        </is>
      </c>
    </row>
    <row r="8">
      <c r="A8" t="inlineStr">
        <is>
          <t>2026-03-14 11:10:44</t>
        </is>
      </c>
      <c r="B8" t="inlineStr">
        <is>
          <t>manual</t>
        </is>
      </c>
      <c r="C8" t="inlineStr">
        <is>
          <t>main</t>
        </is>
      </c>
      <c r="D8" t="inlineStr">
        <is>
          <t>c85c8b0</t>
        </is>
      </c>
      <c r="E8" t="inlineStr">
        <is>
          <t>(no tag)</t>
        </is>
      </c>
      <c r="F8" t="inlineStr">
        <is>
          <t>feat: improve player visibility, mobile UX, and zh copy</t>
        </is>
      </c>
      <c r="G8" t="inlineStr">
        <is>
          <t>https://github.com/dan40912/prayer-coin.git</t>
        </is>
      </c>
    </row>
    <row r="9">
      <c r="A9" t="inlineStr">
        <is>
          <t>2026-03-14 11:11:32</t>
        </is>
      </c>
      <c r="B9" t="inlineStr">
        <is>
          <t>manual</t>
        </is>
      </c>
      <c r="C9" t="inlineStr">
        <is>
          <t>main</t>
        </is>
      </c>
      <c r="D9" t="inlineStr">
        <is>
          <t>c85c8b0</t>
        </is>
      </c>
      <c r="E9" t="inlineStr">
        <is>
          <t>(no tag)</t>
        </is>
      </c>
      <c r="F9" t="inlineStr">
        <is>
          <t>feat: improve player visibility, mobile UX, and zh copy</t>
        </is>
      </c>
      <c r="G9" t="inlineStr">
        <is>
          <t>https://github.com/dan40912/prayer-coin.git</t>
        </is>
      </c>
    </row>
    <row r="10">
      <c r="A10" t="inlineStr">
        <is>
          <t>2026-03-14 12:48:51</t>
        </is>
      </c>
      <c r="B10" t="inlineStr">
        <is>
          <t>manual</t>
        </is>
      </c>
      <c r="C10" t="inlineStr">
        <is>
          <t>main</t>
        </is>
      </c>
      <c r="D10" t="inlineStr">
        <is>
          <t>c85c8b0</t>
        </is>
      </c>
      <c r="E10" t="inlineStr">
        <is>
          <t>(no tag)</t>
        </is>
      </c>
      <c r="F10" t="inlineStr">
        <is>
          <t>feat: improve player visibility, mobile UX, and zh copy</t>
        </is>
      </c>
      <c r="G10" t="inlineStr">
        <is>
          <t>https://github.com/dan40912/prayer-coin.git</t>
        </is>
      </c>
    </row>
    <row r="11">
      <c r="A11" t="inlineStr">
        <is>
          <t>2026-03-15 14:21:40</t>
        </is>
      </c>
      <c r="B11" t="inlineStr">
        <is>
          <t>manual</t>
        </is>
      </c>
      <c r="C11" t="inlineStr">
        <is>
          <t>main</t>
        </is>
      </c>
      <c r="D11" t="inlineStr">
        <is>
          <t>c85c8b0</t>
        </is>
      </c>
      <c r="E11" t="inlineStr">
        <is>
          <t>(no tag)</t>
        </is>
      </c>
      <c r="F11" t="inlineStr">
        <is>
          <t>feat: improve player visibility, mobile UX, and zh copy</t>
        </is>
      </c>
      <c r="G11" t="inlineStr">
        <is>
          <t>https://github.com/dan40912/prayer-coin.git</t>
        </is>
      </c>
    </row>
    <row r="12">
      <c r="A12" t="inlineStr">
        <is>
          <t>2026-03-21 15:20:22</t>
        </is>
      </c>
      <c r="B12" t="inlineStr">
        <is>
          <t>commit</t>
        </is>
      </c>
      <c r="C12" t="inlineStr">
        <is>
          <t>main</t>
        </is>
      </c>
      <c r="D12" t="inlineStr">
        <is>
          <t>ea30eb9</t>
        </is>
      </c>
      <c r="E12" t="inlineStr">
        <is>
          <t>(no tag)</t>
        </is>
      </c>
      <c r="F12" t="inlineStr">
        <is>
          <t>chore: sync latest portal, player, and home updates</t>
        </is>
      </c>
      <c r="G12" t="inlineStr">
        <is>
          <t>https://github.com/dan40912/prayer-coin.git</t>
        </is>
      </c>
    </row>
    <row r="13">
      <c r="A13" t="inlineStr">
        <is>
          <t>2026-03-21 15:53:04</t>
        </is>
      </c>
      <c r="B13" t="inlineStr">
        <is>
          <t>commit</t>
        </is>
      </c>
      <c r="C13" t="inlineStr">
        <is>
          <t>main</t>
        </is>
      </c>
      <c r="D13" t="inlineStr">
        <is>
          <t>9ac4d0b</t>
        </is>
      </c>
      <c r="E13" t="inlineStr">
        <is>
          <t>(no tag)</t>
        </is>
      </c>
      <c r="F13" t="inlineStr">
        <is>
          <t>fix: restore logo path and harden prayer audio playback</t>
        </is>
      </c>
      <c r="G13" t="inlineStr">
        <is>
          <t>https://github.com/dan40912/prayer-coin.git</t>
        </is>
      </c>
    </row>
    <row r="14">
      <c r="A14" t="inlineStr">
        <is>
          <t>2026-03-21 17:40:55</t>
        </is>
      </c>
      <c r="B14" t="inlineStr">
        <is>
          <t>commit</t>
        </is>
      </c>
      <c r="C14" t="inlineStr">
        <is>
          <t>main</t>
        </is>
      </c>
      <c r="D14" t="inlineStr">
        <is>
          <t>9d00e9c</t>
        </is>
      </c>
      <c r="E14" t="inlineStr">
        <is>
          <t>(no tag)</t>
        </is>
      </c>
      <c r="F14" t="inlineStr">
        <is>
          <t>fix: stabilize prayfor audio and mobile header/player UI</t>
        </is>
      </c>
      <c r="G14" t="inlineStr">
        <is>
          <t>https://github.com/dan40912/prayer-coin.git</t>
        </is>
      </c>
    </row>
    <row r="15">
      <c r="A15" t="inlineStr">
        <is>
          <t>2026-03-24 23:37:09</t>
        </is>
      </c>
      <c r="B15" t="inlineStr">
        <is>
          <t>commit</t>
        </is>
      </c>
      <c r="C15" t="inlineStr">
        <is>
          <t>main</t>
        </is>
      </c>
      <c r="D15" t="inlineStr">
        <is>
          <t>d320697</t>
        </is>
      </c>
      <c r="E15" t="inlineStr">
        <is>
          <t>(no tag)</t>
        </is>
      </c>
      <c r="F15" t="inlineStr">
        <is>
          <t>feat(admin): roll out 2FA security hardening and console UX upgrades</t>
        </is>
      </c>
      <c r="G15" t="inlineStr">
        <is>
          <t>https://github.com/dan40912/prayer-coin.git</t>
        </is>
      </c>
    </row>
    <row r="16">
      <c r="A16" t="inlineStr">
        <is>
          <t>2026-03-25 00:09:02</t>
        </is>
      </c>
      <c r="B16" t="inlineStr">
        <is>
          <t>commit</t>
        </is>
      </c>
      <c r="C16" t="inlineStr">
        <is>
          <t>main</t>
        </is>
      </c>
      <c r="D16" t="inlineStr">
        <is>
          <t>0012f38</t>
        </is>
      </c>
      <c r="E16" t="inlineStr">
        <is>
          <t>(no tag)</t>
        </is>
      </c>
      <c r="F16" t="inlineStr">
        <is>
          <t>feat: improve SEO metadata, footer spacing, and customer image upload flow</t>
        </is>
      </c>
      <c r="G16" t="inlineStr">
        <is>
          <t>https://github.com/dan40912/prayer-coin.git</t>
        </is>
      </c>
    </row>
    <row r="17">
      <c r="A17" t="inlineStr">
        <is>
          <t>2026-03-28 21:35:01</t>
        </is>
      </c>
      <c r="B17" t="inlineStr">
        <is>
          <t>commit</t>
        </is>
      </c>
      <c r="C17" t="inlineStr">
        <is>
          <t>main</t>
        </is>
      </c>
      <c r="D17" t="inlineStr">
        <is>
          <t>367b31a</t>
        </is>
      </c>
      <c r="E17" t="inlineStr">
        <is>
          <t>(no tag)</t>
        </is>
      </c>
      <c r="F17" t="inlineStr">
        <is>
          <t>release: v2.0.0</t>
        </is>
      </c>
      <c r="G17" t="inlineStr">
        <is>
          <t>https://github.com/dan40912/prayer-coin.git</t>
        </is>
      </c>
    </row>
    <row r="18">
      <c r="A18" t="inlineStr">
        <is>
          <t>2026-03-30 01:24:29</t>
        </is>
      </c>
      <c r="B18" t="inlineStr">
        <is>
          <t>commit</t>
        </is>
      </c>
      <c r="C18" t="inlineStr">
        <is>
          <t>main</t>
        </is>
      </c>
      <c r="D18" t="inlineStr">
        <is>
          <t>0091916</t>
        </is>
      </c>
      <c r="E18" t="inlineStr">
        <is>
          <t>v2</t>
        </is>
      </c>
      <c r="F18" t="inlineStr">
        <is>
          <t>feat: finalize admin editors/player updates and add prod migration bundle</t>
        </is>
      </c>
      <c r="G18" t="inlineStr">
        <is>
          <t>https://github.com/dan40912/prayer-coin.git</t>
        </is>
      </c>
    </row>
    <row r="19">
      <c r="A19" t="inlineStr">
        <is>
          <t>2026-03-30 01:24:58</t>
        </is>
      </c>
      <c r="B19" t="inlineStr">
        <is>
          <t>commit</t>
        </is>
      </c>
      <c r="C19" t="inlineStr">
        <is>
          <t>main</t>
        </is>
      </c>
      <c r="D19" t="inlineStr">
        <is>
          <t>71c12b7</t>
        </is>
      </c>
      <c r="E19" t="inlineStr">
        <is>
          <t>v2</t>
        </is>
      </c>
      <c r="F19" t="inlineStr">
        <is>
          <t>chore: update progress tracker workbook</t>
        </is>
      </c>
      <c r="G19" t="inlineStr">
        <is>
          <t>https://github.com/dan40912/prayer-coin.git</t>
        </is>
      </c>
    </row>
    <row r="20">
      <c r="A20" t="inlineStr">
        <is>
          <t>2026-03-31 00:16:22</t>
        </is>
      </c>
      <c r="B20" t="inlineStr">
        <is>
          <t>commit</t>
        </is>
      </c>
      <c r="C20" t="inlineStr">
        <is>
          <t>main</t>
        </is>
      </c>
      <c r="D20" t="inlineStr">
        <is>
          <t>6ea34be</t>
        </is>
      </c>
      <c r="E20" t="inlineStr">
        <is>
          <t>v2</t>
        </is>
      </c>
      <c r="F20" t="inlineStr">
        <is>
          <t>Fix global player replay diagnostics and loop behavior</t>
        </is>
      </c>
      <c r="G20" t="inlineStr">
        <is>
          <t>https://github.com/dan40912/prayer-coin.git</t>
        </is>
      </c>
    </row>
    <row r="21">
      <c r="A21" t="inlineStr">
        <is>
          <t>2026-04-02 23:17:07</t>
        </is>
      </c>
      <c r="B21" t="inlineStr">
        <is>
          <t>commit</t>
        </is>
      </c>
      <c r="C21" t="inlineStr">
        <is>
          <t>main</t>
        </is>
      </c>
      <c r="D21" t="inlineStr">
        <is>
          <t>8eeb610</t>
        </is>
      </c>
      <c r="E21" t="inlineStr">
        <is>
          <t>v2</t>
        </is>
      </c>
      <c r="F21" t="inlineStr">
        <is>
          <t>Remove legacy wireframe assets</t>
        </is>
      </c>
      <c r="G21" t="inlineStr">
        <is>
          <t>https://github.com/dan40912/prayer-coin.git</t>
        </is>
      </c>
    </row>
    <row r="22">
      <c r="A22" t="inlineStr">
        <is>
          <t>2026-04-26 12:57:49</t>
        </is>
      </c>
      <c r="B22" t="inlineStr">
        <is>
          <t>commit</t>
        </is>
      </c>
      <c r="C22" t="inlineStr">
        <is>
          <t>main</t>
        </is>
      </c>
      <c r="D22" t="inlineStr">
        <is>
          <t>7d71f48</t>
        </is>
      </c>
      <c r="E22" t="inlineStr">
        <is>
          <t>v2</t>
        </is>
      </c>
      <c r="F22" t="inlineStr">
        <is>
          <t>Add overcomer story media and SEO updates</t>
        </is>
      </c>
      <c r="G22" t="inlineStr">
        <is>
          <t>https://github.com/dan40912/prayer-coin.git</t>
        </is>
      </c>
    </row>
    <row r="23">
      <c r="A23" t="inlineStr">
        <is>
          <t>2026-04-26 13:09:29</t>
        </is>
      </c>
      <c r="B23" t="inlineStr">
        <is>
          <t>commit</t>
        </is>
      </c>
      <c r="C23" t="inlineStr">
        <is>
          <t>main</t>
        </is>
      </c>
      <c r="D23" t="inlineStr">
        <is>
          <t>ce22e58</t>
        </is>
      </c>
      <c r="E23" t="inlineStr">
        <is>
          <t>v2</t>
        </is>
      </c>
      <c r="F23" t="inlineStr">
        <is>
          <t>Improve overcomer story recording modal</t>
        </is>
      </c>
      <c r="G23" t="inlineStr">
        <is>
          <t>https://github.com/dan40912/prayer-coin.git</t>
        </is>
      </c>
    </row>
    <row r="24">
      <c r="A24" t="inlineStr">
        <is>
          <t>2026-05-05 00:56:10</t>
        </is>
      </c>
      <c r="B24" t="inlineStr">
        <is>
          <t>commit</t>
        </is>
      </c>
      <c r="C24" t="inlineStr">
        <is>
          <t>main</t>
        </is>
      </c>
      <c r="D24" t="inlineStr">
        <is>
          <t>d8dfbe6</t>
        </is>
      </c>
      <c r="E24" t="inlineStr">
        <is>
          <t>v2</t>
        </is>
      </c>
      <c r="F24" t="inlineStr">
        <is>
          <t>Add global prayer room experience and prayer seed tooling</t>
        </is>
      </c>
      <c r="G24" t="inlineStr">
        <is>
          <t>https://github.com/dan40912/prayer-coin.git</t>
        </is>
      </c>
    </row>
    <row r="25">
      <c r="A25" t="inlineStr">
        <is>
          <t>2026-05-09 20:01:08</t>
        </is>
      </c>
      <c r="B25" t="inlineStr">
        <is>
          <t>commit</t>
        </is>
      </c>
      <c r="C25" t="inlineStr">
        <is>
          <t>main</t>
        </is>
      </c>
      <c r="D25" t="inlineStr">
        <is>
          <t>b034091</t>
        </is>
      </c>
      <c r="E25" t="inlineStr">
        <is>
          <t>v2</t>
        </is>
      </c>
      <c r="F25" t="inlineStr">
        <is>
          <t>Improve global prayer room map experience</t>
        </is>
      </c>
      <c r="G25" t="inlineStr">
        <is>
          <t>https://github.com/dan40912/prayer-coin.git</t>
        </is>
      </c>
    </row>
    <row r="26">
      <c r="A26" t="inlineStr">
        <is>
          <t>2026-05-10 19:36:02</t>
        </is>
      </c>
      <c r="B26" t="inlineStr">
        <is>
          <t>commit</t>
        </is>
      </c>
      <c r="C26" t="inlineStr">
        <is>
          <t>main</t>
        </is>
      </c>
      <c r="D26" t="inlineStr">
        <is>
          <t>c3a856b</t>
        </is>
      </c>
      <c r="E26" t="inlineStr">
        <is>
          <t>v2</t>
        </is>
      </c>
      <c r="F26" t="inlineStr">
        <is>
          <t>Update Start Pray docs and public UI</t>
        </is>
      </c>
      <c r="G26" t="inlineStr">
        <is>
          <t>https://github.com/dan40912/Start-Pray.git</t>
        </is>
      </c>
    </row>
    <row r="27">
      <c r="A27" t="inlineStr">
        <is>
          <t>2026-05-10 19:36:25</t>
        </is>
      </c>
      <c r="B27" t="inlineStr">
        <is>
          <t>commit</t>
        </is>
      </c>
      <c r="C27" t="inlineStr">
        <is>
          <t>main</t>
        </is>
      </c>
      <c r="D27" t="inlineStr">
        <is>
          <t>dee4b64</t>
        </is>
      </c>
      <c r="E27" t="inlineStr">
        <is>
          <t>v2</t>
        </is>
      </c>
      <c r="F27" t="inlineStr">
        <is>
          <t>Update Start Pray docs and public UI</t>
        </is>
      </c>
      <c r="G27" t="inlineStr">
        <is>
          <t>https://github.com/dan40912/Start-Pray.git</t>
        </is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2026-03-14T00:39:29Z</dcterms:created>
  <dcterms:modified xsi:type="dcterms:W3CDTF">2026-05-10T11:36:25Z</dcterms:modified>
  <cp:lastModifiedBy>xinjay0530</cp:lastModifiedBy>
</cp:coreProperties>
</file>